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ert Fox\Desktop\ekstraklasa\"/>
    </mc:Choice>
  </mc:AlternateContent>
  <xr:revisionPtr revIDLastSave="0" documentId="13_ncr:1_{81122B69-E38A-4040-954B-DF5BFBC7082F}" xr6:coauthVersionLast="47" xr6:coauthVersionMax="47" xr10:uidLastSave="{00000000-0000-0000-0000-000000000000}"/>
  <bookViews>
    <workbookView xWindow="-120" yWindow="-120" windowWidth="29040" windowHeight="15720" activeTab="1" xr2:uid="{A2BBDF12-4528-4210-84C7-29AE4321CDB0}"/>
  </bookViews>
  <sheets>
    <sheet name="Zawodnicy cechy" sheetId="10" r:id="rId1"/>
    <sheet name="Zawodnicy statystyki" sheetId="1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25" i="11" l="1"/>
  <c r="R629" i="11"/>
  <c r="R99" i="11"/>
  <c r="R465" i="11"/>
  <c r="R406" i="11"/>
  <c r="R55" i="11"/>
  <c r="R712" i="11"/>
  <c r="R302" i="11"/>
  <c r="R482" i="11"/>
  <c r="R416" i="11"/>
  <c r="R716" i="11"/>
  <c r="R293" i="11"/>
  <c r="R374" i="11"/>
  <c r="R56" i="11"/>
  <c r="R463" i="11"/>
  <c r="R344" i="11"/>
  <c r="R460" i="11"/>
  <c r="R400" i="11"/>
  <c r="R85" i="11"/>
  <c r="R593" i="11"/>
  <c r="R194" i="11"/>
  <c r="R73" i="11"/>
  <c r="R303" i="11"/>
  <c r="R224" i="11"/>
  <c r="R227" i="11"/>
  <c r="R578" i="11"/>
  <c r="R489" i="11"/>
  <c r="R305" i="11"/>
  <c r="R39" i="11"/>
  <c r="R251" i="11"/>
  <c r="R319" i="11"/>
  <c r="R61" i="11"/>
  <c r="R575" i="11"/>
  <c r="R91" i="11"/>
  <c r="R663" i="11"/>
  <c r="R172" i="11"/>
  <c r="R415" i="11"/>
  <c r="R408" i="11"/>
  <c r="R375" i="11"/>
  <c r="R639" i="11"/>
  <c r="R673" i="11"/>
  <c r="R617" i="11"/>
  <c r="R308" i="11"/>
  <c r="R686" i="11"/>
  <c r="R625" i="11"/>
  <c r="R321" i="11"/>
  <c r="R706" i="11"/>
  <c r="R184" i="11"/>
  <c r="R80" i="11"/>
  <c r="R527" i="11"/>
  <c r="R366" i="11"/>
  <c r="R540" i="11"/>
  <c r="R680" i="11"/>
  <c r="R294" i="11"/>
  <c r="R46" i="11"/>
  <c r="R378" i="11"/>
  <c r="R595" i="11"/>
  <c r="R84" i="11"/>
  <c r="R19" i="11"/>
  <c r="R478" i="11"/>
  <c r="R59" i="11"/>
  <c r="R667" i="11"/>
  <c r="R420" i="11"/>
  <c r="R185" i="11"/>
  <c r="R364" i="11"/>
  <c r="R582" i="11"/>
  <c r="R287" i="11"/>
  <c r="R339" i="11"/>
  <c r="R193" i="11"/>
  <c r="R615" i="11"/>
  <c r="R551" i="11"/>
  <c r="R292" i="11"/>
  <c r="R119" i="11"/>
  <c r="R596" i="11"/>
  <c r="R44" i="11"/>
  <c r="R417" i="11"/>
  <c r="R249" i="11"/>
  <c r="R518" i="11"/>
  <c r="R531" i="11"/>
  <c r="R142" i="11"/>
  <c r="R275" i="11"/>
  <c r="R358" i="11"/>
  <c r="R18" i="11"/>
  <c r="R635" i="11"/>
  <c r="R57" i="11"/>
  <c r="R556" i="11"/>
  <c r="R692" i="11"/>
  <c r="R236" i="11"/>
  <c r="R199" i="11"/>
  <c r="R699" i="11"/>
  <c r="R326" i="11"/>
  <c r="R253" i="11"/>
  <c r="R721" i="11"/>
  <c r="R94" i="11"/>
  <c r="R674" i="11"/>
  <c r="R537" i="11"/>
  <c r="R297" i="11"/>
  <c r="R41" i="11"/>
  <c r="R563" i="11"/>
  <c r="R413" i="11"/>
  <c r="R234" i="11"/>
  <c r="R203" i="11"/>
  <c r="R701" i="11"/>
  <c r="R212" i="11"/>
  <c r="R89" i="11"/>
  <c r="R150" i="11"/>
  <c r="R572" i="11"/>
  <c r="R384" i="11"/>
  <c r="R136" i="11"/>
  <c r="R481" i="11"/>
  <c r="R528" i="11"/>
  <c r="R656" i="11"/>
  <c r="R431" i="11"/>
  <c r="R235" i="11"/>
  <c r="R705" i="11"/>
  <c r="R694" i="11"/>
  <c r="R445" i="11"/>
  <c r="R179" i="11"/>
  <c r="R226" i="11"/>
  <c r="R717" i="11"/>
  <c r="R161" i="11"/>
  <c r="R700" i="11"/>
  <c r="R229" i="11"/>
  <c r="R37" i="11"/>
  <c r="R237" i="11"/>
  <c r="R646" i="11"/>
  <c r="R126" i="11"/>
  <c r="R597" i="11"/>
  <c r="R128" i="11"/>
  <c r="R75" i="11"/>
  <c r="R240" i="11"/>
  <c r="R129" i="11"/>
  <c r="R355" i="11"/>
  <c r="R381" i="11"/>
  <c r="R442" i="11"/>
  <c r="R238" i="11"/>
  <c r="R225" i="11"/>
  <c r="R90" i="11"/>
  <c r="R591" i="11"/>
  <c r="R67" i="11"/>
  <c r="R146" i="11"/>
  <c r="R310" i="11"/>
  <c r="R470" i="11"/>
  <c r="R645" i="11"/>
  <c r="R693" i="11"/>
  <c r="R105" i="11"/>
  <c r="R284" i="11"/>
  <c r="R414" i="11"/>
  <c r="R329" i="11"/>
  <c r="R322" i="11"/>
  <c r="R620" i="11"/>
  <c r="R220" i="11"/>
  <c r="R312" i="11"/>
  <c r="R386" i="11"/>
  <c r="R331" i="11"/>
  <c r="R426" i="11"/>
  <c r="R441" i="11"/>
  <c r="R601" i="11"/>
  <c r="R309" i="11"/>
  <c r="R507" i="11"/>
  <c r="R35" i="11"/>
  <c r="R50" i="11"/>
  <c r="R719" i="11"/>
  <c r="R164" i="11"/>
  <c r="R496" i="11"/>
  <c r="R45" i="11"/>
  <c r="R300" i="11"/>
  <c r="R486" i="11"/>
  <c r="R509" i="11"/>
  <c r="R622" i="11"/>
  <c r="R76" i="11"/>
  <c r="R135" i="11"/>
  <c r="R188" i="11"/>
  <c r="R438" i="11"/>
  <c r="R218" i="11"/>
  <c r="R682" i="11"/>
  <c r="R248" i="11"/>
  <c r="R279" i="11"/>
  <c r="R269" i="11"/>
  <c r="R356" i="11"/>
  <c r="R403" i="11"/>
  <c r="R166" i="11"/>
  <c r="R542" i="11"/>
  <c r="R436" i="11"/>
  <c r="R687" i="11"/>
  <c r="R547" i="11"/>
  <c r="R399" i="11"/>
  <c r="R102" i="11"/>
  <c r="R318" i="11"/>
  <c r="R562" i="11"/>
  <c r="R228" i="11"/>
  <c r="R398" i="11"/>
  <c r="R88" i="11"/>
  <c r="R101" i="11"/>
  <c r="R709" i="11"/>
  <c r="R201" i="11"/>
  <c r="R206" i="11"/>
  <c r="R347" i="11"/>
  <c r="R264" i="11"/>
  <c r="R47" i="11"/>
  <c r="R49" i="11"/>
  <c r="R38" i="11"/>
  <c r="R241" i="11"/>
  <c r="R103" i="11"/>
  <c r="R672" i="11"/>
  <c r="R243" i="11"/>
  <c r="R530" i="11"/>
  <c r="R685" i="11"/>
  <c r="R418" i="11"/>
  <c r="R216" i="11"/>
  <c r="R497" i="11"/>
  <c r="R579" i="11"/>
  <c r="R670" i="11"/>
  <c r="R448" i="11"/>
  <c r="R503" i="11"/>
  <c r="R574" i="11"/>
  <c r="R711" i="11"/>
  <c r="R671" i="11"/>
  <c r="R679" i="11"/>
  <c r="R483" i="11"/>
  <c r="R564" i="11"/>
  <c r="R79" i="11"/>
  <c r="R255" i="11"/>
  <c r="R524" i="11"/>
  <c r="R108" i="11"/>
  <c r="R668" i="11"/>
  <c r="R627" i="11"/>
  <c r="R338" i="11"/>
  <c r="R493" i="11"/>
  <c r="R359" i="11"/>
  <c r="R159" i="11"/>
  <c r="R525" i="11"/>
  <c r="R23" i="11"/>
  <c r="R208" i="11"/>
  <c r="R555" i="11"/>
  <c r="R62" i="11"/>
  <c r="R367" i="11"/>
  <c r="R114" i="11"/>
  <c r="R606" i="11"/>
  <c r="R511" i="11"/>
  <c r="R109" i="11"/>
  <c r="R31" i="11"/>
  <c r="R43" i="11"/>
  <c r="R536" i="11"/>
  <c r="R3" i="11"/>
  <c r="R165" i="11"/>
  <c r="R604" i="11"/>
  <c r="R260" i="11"/>
  <c r="R115" i="11"/>
  <c r="R423" i="11"/>
  <c r="R223" i="11"/>
  <c r="R624" i="11"/>
  <c r="R112" i="11"/>
  <c r="R155" i="11"/>
  <c r="R480" i="11"/>
  <c r="R207" i="11"/>
  <c r="R190" i="11"/>
  <c r="R113" i="11"/>
  <c r="R613" i="11"/>
  <c r="R143" i="11"/>
  <c r="R357" i="11"/>
  <c r="R139" i="11"/>
  <c r="R299" i="11"/>
  <c r="R444" i="11"/>
  <c r="R393" i="11"/>
  <c r="R385" i="11"/>
  <c r="R581" i="11"/>
  <c r="R87" i="11"/>
  <c r="R690" i="11"/>
  <c r="R191" i="11"/>
  <c r="R466" i="11"/>
  <c r="R276" i="11"/>
  <c r="R138" i="11"/>
  <c r="R626" i="11"/>
  <c r="R457" i="11"/>
  <c r="R214" i="11"/>
  <c r="R54" i="11"/>
  <c r="R107" i="11"/>
  <c r="R651" i="11"/>
  <c r="R455" i="11"/>
  <c r="R461" i="11"/>
  <c r="R410" i="11"/>
  <c r="R200" i="11"/>
  <c r="R665" i="11"/>
  <c r="R144" i="11"/>
  <c r="R504" i="11"/>
  <c r="R492" i="11"/>
  <c r="R383" i="11"/>
  <c r="R477" i="11"/>
  <c r="R669" i="11"/>
  <c r="R124" i="11"/>
  <c r="R257" i="11"/>
  <c r="R544" i="11"/>
  <c r="R262" i="11"/>
  <c r="R628" i="11"/>
  <c r="R340" i="11"/>
  <c r="R2" i="11"/>
  <c r="R491" i="11"/>
  <c r="R380" i="11"/>
  <c r="R440" i="11"/>
  <c r="R291" i="11"/>
  <c r="R538" i="11"/>
  <c r="R373" i="11"/>
  <c r="R158" i="11"/>
  <c r="R204" i="11"/>
  <c r="R120" i="11"/>
  <c r="R215" i="11"/>
  <c r="R590" i="11"/>
  <c r="R612" i="11"/>
  <c r="R13" i="11"/>
  <c r="R654" i="11"/>
  <c r="R619" i="11"/>
  <c r="R265" i="11"/>
  <c r="R130" i="11"/>
  <c r="R371" i="11"/>
  <c r="R368" i="11"/>
  <c r="R82" i="11"/>
  <c r="R171" i="11"/>
  <c r="R21" i="11"/>
  <c r="R131" i="11"/>
  <c r="R285" i="11"/>
  <c r="R631" i="11"/>
  <c r="R557" i="11"/>
  <c r="R117" i="11"/>
  <c r="R182" i="11"/>
  <c r="R388" i="11"/>
  <c r="R314" i="11"/>
  <c r="R485" i="11"/>
  <c r="R12" i="11"/>
  <c r="R51" i="11"/>
  <c r="R515" i="11"/>
  <c r="R553" i="11"/>
  <c r="R289" i="11"/>
  <c r="R219" i="11"/>
  <c r="R34" i="11"/>
  <c r="R600" i="11"/>
  <c r="R137" i="11"/>
  <c r="R456" i="11"/>
  <c r="R695" i="11"/>
  <c r="R231" i="11"/>
  <c r="R270" i="11"/>
  <c r="R65" i="11"/>
  <c r="R343" i="11"/>
  <c r="R387" i="11"/>
  <c r="R7" i="11"/>
  <c r="R189" i="11"/>
  <c r="R698" i="11"/>
  <c r="R453" i="11"/>
  <c r="R247" i="11"/>
  <c r="R133" i="11"/>
  <c r="R382" i="11"/>
  <c r="R565" i="11"/>
  <c r="R362" i="11"/>
  <c r="R475" i="11"/>
  <c r="R559" i="11"/>
  <c r="R277" i="11"/>
  <c r="R397" i="11"/>
  <c r="R242" i="11"/>
  <c r="R598" i="11"/>
  <c r="R514" i="11"/>
  <c r="R254" i="11"/>
  <c r="R567" i="11"/>
  <c r="R715" i="11"/>
  <c r="R488" i="11"/>
  <c r="R336" i="11"/>
  <c r="R517" i="11"/>
  <c r="R202" i="11"/>
  <c r="R342" i="11"/>
  <c r="R104" i="11"/>
  <c r="R116" i="11"/>
  <c r="R655" i="11"/>
  <c r="R666" i="11"/>
  <c r="R614" i="11"/>
  <c r="R609" i="11"/>
  <c r="R633" i="11"/>
  <c r="R583" i="11"/>
  <c r="R523" i="11"/>
  <c r="R649" i="11"/>
  <c r="R630" i="11"/>
  <c r="R196" i="11"/>
  <c r="R437" i="11"/>
  <c r="R183" i="11"/>
  <c r="R334" i="11"/>
  <c r="R678" i="11"/>
  <c r="R15" i="11"/>
  <c r="R286" i="11"/>
  <c r="R577" i="11"/>
  <c r="R632" i="11"/>
  <c r="R148" i="11"/>
  <c r="R25" i="11"/>
  <c r="R32" i="11"/>
  <c r="R298" i="11"/>
  <c r="R708" i="11"/>
  <c r="R74" i="11"/>
  <c r="R22" i="11"/>
  <c r="R552" i="11"/>
  <c r="R192" i="11"/>
  <c r="R328" i="11"/>
  <c r="R272" i="11"/>
  <c r="R550" i="11"/>
  <c r="R529" i="11"/>
  <c r="R352" i="11"/>
  <c r="R657" i="11"/>
  <c r="R458" i="11"/>
  <c r="R468" i="11"/>
  <c r="R250" i="11"/>
  <c r="R505" i="11"/>
  <c r="R543" i="11"/>
  <c r="R535" i="11"/>
  <c r="R502" i="11"/>
  <c r="R533" i="11"/>
  <c r="R60" i="11"/>
  <c r="R396" i="11"/>
  <c r="R479" i="11"/>
  <c r="R534" i="11"/>
  <c r="R205" i="11"/>
  <c r="R8" i="11"/>
  <c r="R283" i="11"/>
  <c r="R439" i="11"/>
  <c r="R127" i="11"/>
  <c r="R261" i="11"/>
  <c r="R469" i="11"/>
  <c r="R434" i="11"/>
  <c r="R713" i="11"/>
  <c r="R720" i="11"/>
  <c r="R585" i="11"/>
  <c r="R652" i="11"/>
  <c r="R93" i="11"/>
  <c r="R246" i="11"/>
  <c r="R539" i="11"/>
  <c r="R69" i="11"/>
  <c r="R232" i="11"/>
  <c r="R96" i="11"/>
  <c r="R95" i="11"/>
  <c r="R78" i="11"/>
  <c r="R513" i="11"/>
  <c r="R324" i="11"/>
  <c r="R233" i="11"/>
  <c r="R589" i="11"/>
  <c r="R213" i="11"/>
  <c r="R570" i="11"/>
  <c r="R661" i="11"/>
  <c r="R92" i="11"/>
  <c r="R541" i="11"/>
  <c r="R274" i="11"/>
  <c r="R288" i="11"/>
  <c r="R664" i="11"/>
  <c r="R346" i="11"/>
  <c r="R449" i="11"/>
  <c r="R510" i="11"/>
  <c r="R180" i="11"/>
  <c r="R561" i="11"/>
  <c r="R611" i="11"/>
  <c r="R370" i="11"/>
  <c r="R42" i="11"/>
  <c r="R118" i="11"/>
  <c r="R70" i="11"/>
  <c r="R258" i="11"/>
  <c r="R422" i="11"/>
  <c r="R71" i="11"/>
  <c r="R676" i="11"/>
  <c r="R152" i="11"/>
  <c r="R467" i="11"/>
  <c r="R548" i="11"/>
  <c r="R526" i="11"/>
  <c r="R252" i="11"/>
  <c r="R197" i="11"/>
  <c r="R520" i="11"/>
  <c r="R516" i="11"/>
  <c r="R411" i="11"/>
  <c r="R271" i="11"/>
  <c r="R175" i="11"/>
  <c r="R616" i="11"/>
  <c r="R306" i="11"/>
  <c r="R156" i="11"/>
  <c r="R280" i="11"/>
  <c r="R36" i="11"/>
  <c r="R662" i="11"/>
  <c r="R376" i="11"/>
  <c r="R26" i="11"/>
  <c r="R64" i="11"/>
  <c r="R290" i="11"/>
  <c r="R333" i="11"/>
  <c r="R28" i="11"/>
  <c r="R222" i="11"/>
  <c r="R77" i="11"/>
  <c r="R454" i="11"/>
  <c r="R641" i="11"/>
  <c r="R337" i="11"/>
  <c r="R110" i="11"/>
  <c r="R311" i="11"/>
  <c r="R392" i="11"/>
  <c r="R391" i="11"/>
  <c r="R688" i="11"/>
  <c r="R230" i="11"/>
  <c r="R29" i="11"/>
  <c r="R6" i="11"/>
  <c r="R198" i="11"/>
  <c r="R176" i="11"/>
  <c r="R121" i="11"/>
  <c r="R348" i="11"/>
  <c r="R263" i="11"/>
  <c r="R187" i="11"/>
  <c r="R268" i="11"/>
  <c r="R145" i="11"/>
  <c r="R313" i="11"/>
  <c r="R464" i="11"/>
  <c r="R580" i="11"/>
  <c r="R307" i="11"/>
  <c r="R169" i="11"/>
  <c r="R677" i="11"/>
  <c r="R618" i="11"/>
  <c r="R447" i="11"/>
  <c r="R642" i="11"/>
  <c r="R573" i="11"/>
  <c r="R560" i="11"/>
  <c r="R100" i="11"/>
  <c r="R345" i="11"/>
  <c r="R267" i="11"/>
  <c r="R623" i="11"/>
  <c r="R81" i="11"/>
  <c r="R499" i="11"/>
  <c r="R111" i="11"/>
  <c r="R327" i="11"/>
  <c r="R487" i="11"/>
  <c r="R432" i="11"/>
  <c r="R48" i="11"/>
  <c r="R473" i="11"/>
  <c r="R332" i="11"/>
  <c r="R394" i="11"/>
  <c r="R97" i="11"/>
  <c r="R24" i="11"/>
  <c r="R295" i="11"/>
  <c r="R217" i="11"/>
  <c r="R349" i="11"/>
  <c r="R402" i="11"/>
  <c r="R472" i="11"/>
  <c r="R421" i="11"/>
  <c r="R141" i="11"/>
  <c r="R363" i="11"/>
  <c r="R412" i="11"/>
  <c r="R317" i="11"/>
  <c r="R610" i="11"/>
  <c r="R134" i="11"/>
  <c r="R351" i="11"/>
  <c r="R494" i="11"/>
  <c r="R430" i="11"/>
  <c r="R484" i="11"/>
  <c r="R174" i="11"/>
  <c r="R266" i="11"/>
  <c r="R177" i="11"/>
  <c r="R566" i="11"/>
  <c r="R27" i="11"/>
  <c r="R160" i="11"/>
  <c r="R707" i="11"/>
  <c r="R354" i="11"/>
  <c r="R17" i="11"/>
  <c r="R405" i="11"/>
  <c r="R330" i="11"/>
  <c r="R522" i="11"/>
  <c r="R419" i="11"/>
  <c r="R490" i="11"/>
  <c r="R304" i="11"/>
  <c r="R353" i="11"/>
  <c r="R123" i="11"/>
  <c r="R710" i="11"/>
  <c r="R443" i="11"/>
  <c r="R154" i="11"/>
  <c r="R153" i="11"/>
  <c r="R244" i="11"/>
  <c r="R315" i="11"/>
  <c r="R558" i="11"/>
  <c r="R476" i="11"/>
  <c r="R568" i="11"/>
  <c r="R621" i="11"/>
  <c r="R68" i="11"/>
  <c r="R697" i="11"/>
  <c r="R341" i="11"/>
  <c r="R389" i="11"/>
  <c r="R599" i="11"/>
  <c r="R377" i="11"/>
  <c r="R571" i="11"/>
  <c r="R16" i="11"/>
  <c r="R659" i="11"/>
  <c r="R602" i="11"/>
  <c r="R634" i="11"/>
  <c r="R10" i="11"/>
  <c r="R660" i="11"/>
  <c r="R282" i="11"/>
  <c r="R428" i="11"/>
  <c r="R608" i="11"/>
  <c r="R186" i="11"/>
  <c r="R369" i="11"/>
  <c r="R72" i="11"/>
  <c r="R170" i="11"/>
  <c r="R178" i="11"/>
  <c r="R151" i="11"/>
  <c r="R98" i="11"/>
  <c r="R643" i="11"/>
  <c r="R703" i="11"/>
  <c r="R681" i="11"/>
  <c r="R584" i="11"/>
  <c r="R361" i="11"/>
  <c r="R157" i="11"/>
  <c r="R390" i="11"/>
  <c r="R462" i="11"/>
  <c r="R549" i="11"/>
  <c r="R704" i="11"/>
  <c r="R5" i="11"/>
  <c r="R452" i="11"/>
  <c r="R132" i="11"/>
  <c r="R4" i="11"/>
  <c r="R433" i="11"/>
  <c r="R66" i="11"/>
  <c r="R53" i="11"/>
  <c r="R195" i="11"/>
  <c r="R173" i="11"/>
  <c r="R40" i="11"/>
  <c r="R605" i="11"/>
  <c r="R435" i="11"/>
  <c r="R401" i="11"/>
  <c r="R640" i="11"/>
  <c r="R546" i="11"/>
  <c r="R594" i="11"/>
  <c r="R425" i="11"/>
  <c r="R501" i="11"/>
  <c r="R644" i="11"/>
  <c r="R722" i="11"/>
  <c r="R702" i="11"/>
  <c r="R683" i="11"/>
  <c r="R259" i="11"/>
  <c r="R450" i="11"/>
  <c r="R495" i="11"/>
  <c r="R512" i="11"/>
  <c r="R52" i="11"/>
  <c r="R140" i="11"/>
  <c r="R636" i="11"/>
  <c r="R675" i="11"/>
  <c r="R696" i="11"/>
  <c r="R125" i="11"/>
  <c r="R323" i="11"/>
  <c r="R637" i="11"/>
  <c r="R569" i="11"/>
  <c r="R245" i="11"/>
  <c r="R471" i="11"/>
  <c r="R532" i="11"/>
  <c r="R587" i="11"/>
  <c r="R316" i="11"/>
  <c r="R648" i="11"/>
  <c r="R451" i="11"/>
  <c r="R647" i="11"/>
  <c r="R498" i="11"/>
  <c r="R9" i="11"/>
  <c r="R409" i="11"/>
  <c r="R20" i="11"/>
  <c r="R365" i="11"/>
  <c r="R301" i="11"/>
  <c r="R350" i="11"/>
  <c r="R147" i="11"/>
  <c r="R320" i="11"/>
  <c r="R588" i="11"/>
  <c r="R58" i="11"/>
  <c r="R210" i="11"/>
  <c r="R554" i="11"/>
  <c r="R379" i="11"/>
  <c r="R519" i="11"/>
  <c r="R446" i="11"/>
  <c r="R168" i="11"/>
  <c r="R653" i="11"/>
  <c r="R576" i="11"/>
  <c r="R163" i="11"/>
  <c r="R714" i="11"/>
  <c r="R273" i="11"/>
  <c r="R209" i="11"/>
  <c r="R167" i="11"/>
  <c r="R181" i="11"/>
  <c r="R474" i="11"/>
  <c r="R162" i="11"/>
  <c r="R603" i="11"/>
  <c r="R221" i="11"/>
  <c r="R545" i="11"/>
  <c r="R718" i="11"/>
  <c r="R429" i="11"/>
  <c r="R239" i="11"/>
  <c r="R404" i="11"/>
  <c r="R14" i="11"/>
  <c r="R691" i="11"/>
  <c r="R256" i="11"/>
  <c r="R360" i="11"/>
  <c r="R586" i="11"/>
  <c r="R122" i="11"/>
  <c r="R211" i="11"/>
  <c r="R83" i="11"/>
  <c r="R296" i="11"/>
  <c r="R335" i="11"/>
  <c r="R638" i="11"/>
  <c r="R372" i="11"/>
  <c r="R407" i="11"/>
  <c r="R684" i="11"/>
  <c r="R506" i="11"/>
  <c r="R149" i="11"/>
  <c r="R106" i="11"/>
  <c r="R33" i="11"/>
  <c r="R278" i="11"/>
  <c r="R658" i="11"/>
  <c r="R395" i="11"/>
  <c r="R63" i="11"/>
  <c r="R11" i="11"/>
  <c r="R424" i="11"/>
  <c r="R689" i="11"/>
  <c r="R500" i="11"/>
  <c r="R427" i="11"/>
  <c r="R281" i="11"/>
  <c r="R86" i="11"/>
  <c r="R650" i="11"/>
  <c r="R607" i="11"/>
  <c r="R592" i="11"/>
  <c r="R459" i="11"/>
  <c r="R521" i="11"/>
  <c r="R30" i="11"/>
  <c r="R508" i="11"/>
</calcChain>
</file>

<file path=xl/sharedStrings.xml><?xml version="1.0" encoding="utf-8"?>
<sst xmlns="http://schemas.openxmlformats.org/spreadsheetml/2006/main" count="12239" uniqueCount="2449">
  <si>
    <t>Bramkarz</t>
  </si>
  <si>
    <t>Tomasz Loska</t>
  </si>
  <si>
    <t>Wiktor Biedrzycki</t>
  </si>
  <si>
    <t>David Domgjoni</t>
  </si>
  <si>
    <t>Marcin Grabowski</t>
  </si>
  <si>
    <t>Mateusz Grzybek</t>
  </si>
  <si>
    <t>Matej Hybs</t>
  </si>
  <si>
    <t>Filip Modelski</t>
  </si>
  <si>
    <t>Nemanja Tekijaski</t>
  </si>
  <si>
    <t>Marcin Wasielewski</t>
  </si>
  <si>
    <t>Maciej Ambrosiewicz</t>
  </si>
  <si>
    <t>Pomocnik</t>
  </si>
  <si>
    <t>Sebastian Bonecki</t>
  </si>
  <si>
    <t>Roman Gergel</t>
  </si>
  <si>
    <t>Michal Hubinek</t>
  </si>
  <si>
    <t>Zvonimir Kozulj</t>
  </si>
  <si>
    <t>-</t>
  </si>
  <si>
    <t>Jakub Pek</t>
  </si>
  <si>
    <t>Samuel Stefanik</t>
  </si>
  <si>
    <t>Tomas Poznar</t>
  </si>
  <si>
    <t>Veton Tusha</t>
  </si>
  <si>
    <t>Roland Varga</t>
  </si>
  <si>
    <t>Lukas Hrosso</t>
  </si>
  <si>
    <t>Cracovia</t>
  </si>
  <si>
    <t>Karol Niemczycki</t>
  </si>
  <si>
    <t>Adam Wilk</t>
  </si>
  <si>
    <t>Virgil Ghita</t>
  </si>
  <si>
    <t>David Jablonsky</t>
  </si>
  <si>
    <t>Jakub Jugas</t>
  </si>
  <si>
    <t>Otar Kakabadze</t>
  </si>
  <si>
    <t>Kamil Pestka</t>
  </si>
  <si>
    <t>Cornel Rapa</t>
  </si>
  <si>
    <t>Matej Rodin</t>
  </si>
  <si>
    <t>Michal Siplak</t>
  </si>
  <si>
    <t>Sergiu Hanca</t>
  </si>
  <si>
    <t>Mathias Hebo Rasmussen</t>
  </si>
  <si>
    <t>Karol Knap</t>
  </si>
  <si>
    <t>Florian Loshaj</t>
  </si>
  <si>
    <t>Sylwester Lusiusz</t>
  </si>
  <si>
    <t>Jakub Myszor</t>
  </si>
  <si>
    <t>Thiago</t>
  </si>
  <si>
    <t>Pelle van Amersfoort</t>
  </si>
  <si>
    <t>Patryk Zaucha</t>
  </si>
  <si>
    <t>Filip Balaj</t>
  </si>
  <si>
    <t>Rivaldinho</t>
  </si>
  <si>
    <t>Maciej Gostomski</t>
  </si>
  <si>
    <t>Adrian Kostrzewski</t>
  </si>
  <si>
    <t>Jonathan de Amo</t>
  </si>
  <si>
    <t>Daniel Dziwniel</t>
  </si>
  <si>
    <t>Gerson</t>
  </si>
  <si>
    <t>Leandro</t>
  </si>
  <si>
    <t>Tomasz Midzierski</t>
  </si>
  <si>
    <t>Kamil Pajnowski</t>
  </si>
  <si>
    <t>Bartosz Rymaniak</t>
  </si>
  <si>
    <t>Szymon Drewniak</t>
  </si>
  <si>
    <t>Janusz Gol</t>
  </si>
  <si>
    <t>Jason Lokilo</t>
  </si>
  <si>
    <t>Dawid Tkacz</t>
  </si>
  <si>
    <t>Daniel Bielica</t>
  </si>
  <si>
    <t>Grzegorz Sandomierski</t>
  </si>
  <si>
    <t>Adrian Gryszkiewicz</t>
  </si>
  <si>
    <t>Erik Janza</t>
  </si>
  <si>
    <t>Mateusz Cholewiak</t>
  </si>
  <si>
    <t>Robert Dadok</t>
  </si>
  <si>
    <t>Adrian Dziedzic</t>
  </si>
  <si>
    <t>Krzysztof Kubica</t>
  </si>
  <si>
    <t>Alasana Manneh</t>
  </si>
  <si>
    <t>Bartosz Nowak</t>
  </si>
  <si>
    <t>Dariusz Stalmach</t>
  </si>
  <si>
    <t>Norbert Wojtuszek</t>
  </si>
  <si>
    <t>Piotr Krawczyk</t>
  </si>
  <si>
    <t>Dani Pacheco</t>
  </si>
  <si>
    <t>Lukas Podolski</t>
  </si>
  <si>
    <t>Alex Sobczyk</t>
  </si>
  <si>
    <t>Pavels Steinbors</t>
  </si>
  <si>
    <t>Patryk Czerech</t>
  </si>
  <si>
    <t>Israel Puerto</t>
  </si>
  <si>
    <t>Ivan Runje</t>
  </si>
  <si>
    <t>Bogdan Tiru</t>
  </si>
  <si>
    <t>Bartosz Bida</t>
  </si>
  <si>
    <t>Diego Carioca</t>
  </si>
  <si>
    <t>Jakub Orpik</t>
  </si>
  <si>
    <t>Martin Pospisil</t>
  </si>
  <si>
    <t>Tomas Prikryl</t>
  </si>
  <si>
    <t>Taras Romanczuk</t>
  </si>
  <si>
    <t>Karol Struski</t>
  </si>
  <si>
    <t>Oliwier Wojciechowski</t>
  </si>
  <si>
    <t>Marc Gual</t>
  </si>
  <si>
    <t>Filip Piszczek</t>
  </si>
  <si>
    <t>Andrzej Trubeha</t>
  </si>
  <si>
    <t>Maciej Twarowski</t>
  </si>
  <si>
    <t>Filip Bednarek</t>
  </si>
  <si>
    <t>Mickey van der Hart</t>
  </si>
  <si>
    <t>Barry Douglas</t>
  </si>
  <si>
    <t>Krystian Palacz</t>
  </si>
  <si>
    <t>Joel Pereira</t>
  </si>
  <si>
    <t>Pedro Rebocho</t>
  </si>
  <si>
    <t>Bartosz Salamon</t>
  </si>
  <si>
    <t>Lubomir Satka</t>
  </si>
  <si>
    <t>Jakub Antczak</t>
  </si>
  <si>
    <t>Adriel Ba Loua</t>
  </si>
  <si>
    <t>Mateusz Skrzypczak</t>
  </si>
  <si>
    <t>Pedro Tiba</t>
  </si>
  <si>
    <t>Kristoffer Velde</t>
  </si>
  <si>
    <t>Mikael Ishak</t>
  </si>
  <si>
    <t>Dawid Kownacki</t>
  </si>
  <si>
    <t>Artur Sobiech</t>
  </si>
  <si>
    <t>Dusan Kuciak</t>
  </si>
  <si>
    <t>Mario Maloca</t>
  </si>
  <si>
    <t>David Stec</t>
  </si>
  <si>
    <t>Kristers Tobers</t>
  </si>
  <si>
    <t>Joseph Ceesay</t>
  </si>
  <si>
    <t>Christian Clemens</t>
  </si>
  <si>
    <t>Conrado</t>
  </si>
  <si>
    <t>Ilkay Durmus</t>
  </si>
  <si>
    <t>Maciej Gajos</t>
  </si>
  <si>
    <t>Omran Haydary</t>
  </si>
  <si>
    <t>Filip Koperski</t>
  </si>
  <si>
    <t>Egzon Kryeziu</t>
  </si>
  <si>
    <t>Tomasz Makowski</t>
  </si>
  <si>
    <t>Tomasz Neugebauer</t>
  </si>
  <si>
    <t>Marco Terrazzino</t>
  </si>
  <si>
    <t>Kacper Sezonienko</t>
  </si>
  <si>
    <t>Artur Boruc</t>
  </si>
  <si>
    <t>Cezary Miszta</t>
  </si>
  <si>
    <t>Wojciech Muzyk</t>
  </si>
  <si>
    <t>Richard Strebinger</t>
  </si>
  <si>
    <t>Joel Abu Hanna</t>
  </si>
  <si>
    <t>Mattias Johansson</t>
  </si>
  <si>
    <t>Maik Nawrocki</t>
  </si>
  <si>
    <t>Yuri Ribeiro</t>
  </si>
  <si>
    <t>Lindsay Rose</t>
  </si>
  <si>
    <t>Mateusz Wieteska</t>
  </si>
  <si>
    <t>Bartosz Kapustka</t>
  </si>
  <si>
    <t>Lirim Kastrati</t>
  </si>
  <si>
    <t>Kacper Skibicki</t>
  </si>
  <si>
    <t>Bartosz Slisz</t>
  </si>
  <si>
    <t>Benjamin Verbic</t>
  </si>
  <si>
    <t>Ernest Muci</t>
  </si>
  <si>
    <t>Tomas Pekhart</t>
  </si>
  <si>
    <t>Frantisek Plach</t>
  </si>
  <si>
    <t>Jakub Holubek</t>
  </si>
  <si>
    <t>Tomas Huk</t>
  </si>
  <si>
    <t>Alexandros Katranis</t>
  </si>
  <si>
    <t>Martin Konczkowski</t>
  </si>
  <si>
    <t>Tomasz Mokwa</t>
  </si>
  <si>
    <t>Constantin Reiner</t>
  </si>
  <si>
    <t>Michael Ameyaw</t>
  </si>
  <si>
    <t>Tom Hateley</t>
  </si>
  <si>
    <t>Tihomir Kostadinov</t>
  </si>
  <si>
    <t>Arkadiusz Pyrka</t>
  </si>
  <si>
    <t>Kristopher Vida</t>
  </si>
  <si>
    <t>Mateusz Winciersz</t>
  </si>
  <si>
    <t>Rauno Sappinen</t>
  </si>
  <si>
    <t>Alberto Toril</t>
  </si>
  <si>
    <t>Kamil Wilczek</t>
  </si>
  <si>
    <t>Jakub Bursztyn</t>
  </si>
  <si>
    <t>Dante Stipica</t>
  </si>
  <si>
    <t>Jakub Bartkowski</t>
  </si>
  <si>
    <t>Mariusz Malec</t>
  </si>
  <si>
    <t>Hubert Matynia</t>
  </si>
  <si>
    <t>Benedikt Zech</t>
  </si>
  <si>
    <t>Kamil Drygas</t>
  </si>
  <si>
    <t>Mariusz Fornalczyk</t>
  </si>
  <si>
    <t>Alexander Gorgon</t>
  </si>
  <si>
    <t>Kamil Grosicki</t>
  </si>
  <si>
    <t>Sebastian Kowalczyk</t>
  </si>
  <si>
    <t>Jean Carlos Silva</t>
  </si>
  <si>
    <t>Kacper Kostorz</t>
  </si>
  <si>
    <t>Piotr Parzyszek</t>
  </si>
  <si>
    <t>Aron Stasiak</t>
  </si>
  <si>
    <t>Mateusz Kochalski</t>
  </si>
  <si>
    <t>Filip Majchrowicz</t>
  </si>
  <si>
    <t>Dawid Abramowicz</t>
  </si>
  <si>
    <t>Artur Bogusz</t>
  </si>
  <si>
    <t>Mateusz Cichocki</t>
  </si>
  <si>
    <t>Damian Jakubik</t>
  </si>
  <si>
    <t>Meik Karwot</t>
  </si>
  <si>
    <t>Raphael Rossi</t>
  </si>
  <si>
    <t>Thabo Cele</t>
  </si>
  <si>
    <t>Tiago Matos</t>
  </si>
  <si>
    <t>Filipe Nascimento</t>
  </si>
  <si>
    <t>Jakub Nowakowski</t>
  </si>
  <si>
    <t>Mateusz Radecki</t>
  </si>
  <si>
    <t>Rhuan</t>
  </si>
  <si>
    <t>Karol Angielski</t>
  </si>
  <si>
    <t>Abraham Marcus</t>
  </si>
  <si>
    <t>Maurides</t>
  </si>
  <si>
    <t>Kacper Trelowski</t>
  </si>
  <si>
    <t>Andrzej Niewulis</t>
  </si>
  <si>
    <t>Tomas Petrasek</t>
  </si>
  <si>
    <t>Bogdan Racovitan</t>
  </si>
  <si>
    <t>Dominik Wydra</t>
  </si>
  <si>
    <t>Marcin Cebula</t>
  </si>
  <si>
    <t>Luka Gagnidze</t>
  </si>
  <si>
    <t>Patryk Kun</t>
  </si>
  <si>
    <t>Ben Lederman</t>
  </si>
  <si>
    <t>Giannis Papanikolaou</t>
  </si>
  <si>
    <t>Deian Sorescu</t>
  </si>
  <si>
    <t>Fran Tudor</t>
  </si>
  <si>
    <t>Mateusz Wdowiak</t>
  </si>
  <si>
    <t>Jakub Arak</t>
  </si>
  <si>
    <t>Vladislavs Gutkovskis</t>
  </si>
  <si>
    <t>Sebastian Musiolik</t>
  </si>
  <si>
    <t>Bartosz Mrozek</t>
  </si>
  <si>
    <t>Damian Primel</t>
  </si>
  <si>
    <t>Marcin Flis</t>
  </si>
  <si>
    <t>Krystian Getinger</t>
  </si>
  <si>
    <t>Albin Granlund</t>
  </si>
  <si>
    <t>Arkadiusz Kasperkiewicz</t>
  </si>
  <si>
    <t>Jakub Wawszczyk</t>
  </si>
  <si>
    <t>Dawid Kort</t>
  </si>
  <si>
    <t>Mateusz Mak</t>
  </si>
  <si>
    <t>Mateusz Matras</t>
  </si>
  <si>
    <t>David Poreba</t>
  </si>
  <si>
    <t>Maksymilian Sitek</t>
  </si>
  <si>
    <t>Grzegorz Tomasiewicz</t>
  </si>
  <si>
    <t>Dominik Steczyk</t>
  </si>
  <si>
    <t>Adrian Szczutowski</t>
  </si>
  <si>
    <t>Oskar Zawada</t>
  </si>
  <si>
    <t>Matus Putnocky</t>
  </si>
  <si>
    <t>Adrian Bukowski</t>
  </si>
  <si>
    <t>Wojciech Golla</t>
  </si>
  <si>
    <t>Jakub Iskra</t>
  </si>
  <si>
    <t>Konrad Poprawa</t>
  </si>
  <si>
    <t>Dino Stiglec</t>
  </si>
  <si>
    <t>Diogo Verdasca</t>
  </si>
  <si>
    <t>Karol Borys</t>
  </si>
  <si>
    <t>Filip Gryglak</t>
  </si>
  <si>
    <t>Patryk Janasik</t>
  </si>
  <si>
    <t>Dennis Jastrzembski</t>
  </si>
  <si>
    <t>Szymon Lewkot</t>
  </si>
  <si>
    <t>Patrick Olsen</t>
  </si>
  <si>
    <t>Robert Pich</t>
  </si>
  <si>
    <t>Kacper Radkowski</t>
  </si>
  <si>
    <t>Petr Schwarz</t>
  </si>
  <si>
    <t>Waldemar Sobota</t>
  </si>
  <si>
    <t>Marcel Zylla</t>
  </si>
  <si>
    <t>Sebastian Bergier</t>
  </si>
  <si>
    <t>Fabian Piasecki</t>
  </si>
  <si>
    <t>Caye Quintana</t>
  </si>
  <si>
    <t>Adrian Lis</t>
  </si>
  <si>
    <t>Jordan Courtney-Perkins</t>
  </si>
  <si>
    <t>Jan Grzesik</t>
  </si>
  <si>
    <t>Robert Ivanov</t>
  </si>
  <si>
    <t>Bartosz Kieliba</t>
  </si>
  <si>
    <t>Konrad Matuszewski</t>
  </si>
  <si>
    <t>Dawid Szymonowicz</t>
  </si>
  <si>
    <t>Milan Corryn</t>
  </si>
  <si>
    <t>Mateusz Kupczak</t>
  </si>
  <si>
    <t>Jayson Papeau</t>
  </si>
  <si>
    <t>Jakub Sangowski</t>
  </si>
  <si>
    <t>Marcin Szeibe</t>
  </si>
  <si>
    <t>Kajetan Szmyt</t>
  </si>
  <si>
    <t>Adam Zrelak</t>
  </si>
  <si>
    <t>Joseph Colley</t>
  </si>
  <si>
    <t>Michal Frydrych</t>
  </si>
  <si>
    <t>Konrad Gruszkowski</t>
  </si>
  <si>
    <t>Matej Hanousek</t>
  </si>
  <si>
    <t>Sebastian Ring</t>
  </si>
  <si>
    <t>Maciej Sadlok</t>
  </si>
  <si>
    <t>Dawid Szot</t>
  </si>
  <si>
    <t>Serafin Szota</t>
  </si>
  <si>
    <t>Alan Uryga</t>
  </si>
  <si>
    <t>Dor Hugi</t>
  </si>
  <si>
    <t>Patryk Plewka</t>
  </si>
  <si>
    <t>Michal Skvarka</t>
  </si>
  <si>
    <t>Jan Kliment</t>
  </si>
  <si>
    <t>Elvis Manu</t>
  </si>
  <si>
    <t>Zdenek Ondrasek</t>
  </si>
  <si>
    <t>Adam Chrzanowski</t>
  </si>
  <si>
    <t>Damian Michalski</t>
  </si>
  <si>
    <t>Kristian Vallo</t>
  </si>
  <si>
    <t>Dominik Furman</t>
  </si>
  <si>
    <t>Fryderyk Gerbowski</t>
  </si>
  <si>
    <t>Jorginho</t>
  </si>
  <si>
    <t>Dusan Lagator</t>
  </si>
  <si>
    <t>Filip Lesniak</t>
  </si>
  <si>
    <t>Aleksander Pawlak</t>
  </si>
  <si>
    <t>Damian Rasak</t>
  </si>
  <si>
    <t>Mateusz Szwoch</t>
  </si>
  <si>
    <t>Piotr Tomasik</t>
  </si>
  <si>
    <t>Bartosz Zynek</t>
  </si>
  <si>
    <t>Marko Kolar</t>
  </si>
  <si>
    <t>Tomasz Walczak</t>
  </si>
  <si>
    <t>Kacper Bieszczad</t>
  </si>
  <si>
    <t>Mateusz Bartolewski</t>
  </si>
  <si>
    <t>Jhon Chancellor</t>
  </si>
  <si>
    <t>Kacper Chodyna</t>
  </si>
  <si>
    <t>Bartosz Kopacz</t>
  </si>
  <si>
    <t>Kamil Kruk</t>
  </si>
  <si>
    <t>Damian Oko</t>
  </si>
  <si>
    <t>Erik Daniel</t>
  </si>
  <si>
    <t>Koki Hinokio</t>
  </si>
  <si>
    <t>Kacper Masiak</t>
  </si>
  <si>
    <t>Dawid Pakulski</t>
  </si>
  <si>
    <t>Adam Ratajczyk</t>
  </si>
  <si>
    <t>Sasa Zivec</t>
  </si>
  <si>
    <t>Cheikhou Dieng</t>
  </si>
  <si>
    <t>Martin Dolezal</t>
  </si>
  <si>
    <t>Patryk Kusztal</t>
  </si>
  <si>
    <t>Patryk Szysz</t>
  </si>
  <si>
    <t>Ivi López</t>
  </si>
  <si>
    <t>João Amaral</t>
  </si>
  <si>
    <t>Lukasz Zwolinski</t>
  </si>
  <si>
    <t>Lukasz Sekulski</t>
  </si>
  <si>
    <t>Luka Zahovic</t>
  </si>
  <si>
    <t>Muris Mesanovic</t>
  </si>
  <si>
    <t>Erik Expósito</t>
  </si>
  <si>
    <t>Bartosz Spiaczka</t>
  </si>
  <si>
    <t>Flávio Paixão</t>
  </si>
  <si>
    <t>Jakub Kaminski</t>
  </si>
  <si>
    <t>Piotr Wlazlo</t>
  </si>
  <si>
    <t>Jesús Imaz</t>
  </si>
  <si>
    <t>Jesús Jiménez</t>
  </si>
  <si>
    <t>Radomiak Radom</t>
  </si>
  <si>
    <t>Bruk-Bet Termalica Nieciecza</t>
  </si>
  <si>
    <t>Górnik Zabrze</t>
  </si>
  <si>
    <t>Legia Warszawa</t>
  </si>
  <si>
    <t>Stal Mielec</t>
  </si>
  <si>
    <t>Zawodnik</t>
  </si>
  <si>
    <t>Klub</t>
  </si>
  <si>
    <t>Narodowość</t>
  </si>
  <si>
    <t>Wiek</t>
  </si>
  <si>
    <t>Ofensywny pomocnik</t>
  </si>
  <si>
    <t>Środkowy napastnik</t>
  </si>
  <si>
    <t>Lewy napastnik</t>
  </si>
  <si>
    <t>Josué</t>
  </si>
  <si>
    <t>Prawy napastnik</t>
  </si>
  <si>
    <t>Damian Kadzior</t>
  </si>
  <si>
    <t>Środkowy pomocnik</t>
  </si>
  <si>
    <t>Defensywny pomocnik</t>
  </si>
  <si>
    <t>Raków Częstochowa</t>
  </si>
  <si>
    <t>Hiszpania</t>
  </si>
  <si>
    <t>Lech Poznań</t>
  </si>
  <si>
    <t>Szwecja</t>
  </si>
  <si>
    <t>Portugalia</t>
  </si>
  <si>
    <t>Polska</t>
  </si>
  <si>
    <t>Lechia Gdańsk</t>
  </si>
  <si>
    <t>Wisła Płock</t>
  </si>
  <si>
    <t>Zagłębie Lubin</t>
  </si>
  <si>
    <t>Pogoń Szczecin</t>
  </si>
  <si>
    <t>Słowenia</t>
  </si>
  <si>
    <t>Łotwa</t>
  </si>
  <si>
    <t>Piast Gliwice</t>
  </si>
  <si>
    <t>Śląsk Wrocław</t>
  </si>
  <si>
    <t>Bośnia i Hercegowina</t>
  </si>
  <si>
    <t>Niemcy</t>
  </si>
  <si>
    <t>Górnik Łęczna</t>
  </si>
  <si>
    <t>Warta Poznań</t>
  </si>
  <si>
    <t>Słowacja</t>
  </si>
  <si>
    <t>Rafal Wolski</t>
  </si>
  <si>
    <t>Prawy pomocnik</t>
  </si>
  <si>
    <t>Damian Warchol</t>
  </si>
  <si>
    <t>Pawel Wszolek</t>
  </si>
  <si>
    <t>Damian Gaska</t>
  </si>
  <si>
    <t>Filip Starzynski</t>
  </si>
  <si>
    <t>Lewy obrońca</t>
  </si>
  <si>
    <t>Fedor Černych</t>
  </si>
  <si>
    <t>Lewy pomocnik</t>
  </si>
  <si>
    <t>Patryk Sokolowski</t>
  </si>
  <si>
    <t>Jagiellonia Białystok</t>
  </si>
  <si>
    <t>Czechy</t>
  </si>
  <si>
    <t>Turcja</t>
  </si>
  <si>
    <t>Chorwacja</t>
  </si>
  <si>
    <t>Holandia</t>
  </si>
  <si>
    <t>Rumunia</t>
  </si>
  <si>
    <t>Litwa</t>
  </si>
  <si>
    <t>Belgia</t>
  </si>
  <si>
    <t>Demokratyczna Republika Kongo</t>
  </si>
  <si>
    <t>Brazylia</t>
  </si>
  <si>
    <t>Rafa Lopes</t>
  </si>
  <si>
    <t>Mateusz Praszelik</t>
  </si>
  <si>
    <t>Michal Chrapek</t>
  </si>
  <si>
    <t>Stefan Savic</t>
  </si>
  <si>
    <t>Kacper Kozlowski</t>
  </si>
  <si>
    <t>Prawy obrońca</t>
  </si>
  <si>
    <t>Yaw Yeboah</t>
  </si>
  <si>
    <t>Michal Kucharczyk</t>
  </si>
  <si>
    <t>Leândro</t>
  </si>
  <si>
    <t>Przemyslaw Banaszak</t>
  </si>
  <si>
    <t>Antonio Milic</t>
  </si>
  <si>
    <t>Środkowy obrońca</t>
  </si>
  <si>
    <t>Wisła Kraków</t>
  </si>
  <si>
    <t>Austria</t>
  </si>
  <si>
    <t>Ghana</t>
  </si>
  <si>
    <t>Maciej Rosolek</t>
  </si>
  <si>
    <t>Bojan Nastic</t>
  </si>
  <si>
    <t>Serbia</t>
  </si>
  <si>
    <t>Adrian Lyszczarz</t>
  </si>
  <si>
    <t>Włochy</t>
  </si>
  <si>
    <t>Gruzja</t>
  </si>
  <si>
    <t>Izrael</t>
  </si>
  <si>
    <t>Dani Ramírez</t>
  </si>
  <si>
    <t>Grecja</t>
  </si>
  <si>
    <t>Lukasz Lakomy</t>
  </si>
  <si>
    <t>Damian Dabrowski</t>
  </si>
  <si>
    <t>Maciej Domanski</t>
  </si>
  <si>
    <t>Frank Castañeda</t>
  </si>
  <si>
    <t>Kolumbia</t>
  </si>
  <si>
    <t>Albania</t>
  </si>
  <si>
    <t>Węgry</t>
  </si>
  <si>
    <t>Luis Fernández</t>
  </si>
  <si>
    <t>Jakub Czerwinski</t>
  </si>
  <si>
    <t>Miguel Luís</t>
  </si>
  <si>
    <t>Gambia</t>
  </si>
  <si>
    <t>Luís Machado</t>
  </si>
  <si>
    <t>Vahan Bichakhchyan</t>
  </si>
  <si>
    <t>Armenia</t>
  </si>
  <si>
    <t>Adam Radwanski</t>
  </si>
  <si>
    <t>Lukasz Poreba</t>
  </si>
  <si>
    <t>Dariusz Pawlowski</t>
  </si>
  <si>
    <t>Lukasz Tralka</t>
  </si>
  <si>
    <t>Marcos Álvarez</t>
  </si>
  <si>
    <t>Luís Mata</t>
  </si>
  <si>
    <t>Konstantinos Triantafyllopoulos</t>
  </si>
  <si>
    <t>Higinio Marín</t>
  </si>
  <si>
    <t>Maciej Zurawski</t>
  </si>
  <si>
    <t>Michal Rakoczy</t>
  </si>
  <si>
    <t>Wybrzeże Kości Słoniowej</t>
  </si>
  <si>
    <t>Anglia</t>
  </si>
  <si>
    <t>Michal Skoras</t>
  </si>
  <si>
    <t>Dania</t>
  </si>
  <si>
    <t>Milosz Szczepanski</t>
  </si>
  <si>
    <t>Tomas Zajic</t>
  </si>
  <si>
    <t>Mahir Emreli</t>
  </si>
  <si>
    <t>Azerbejdżan</t>
  </si>
  <si>
    <t>Nika Kvekveskiri</t>
  </si>
  <si>
    <t>Jaroslaw Kubicki</t>
  </si>
  <si>
    <t>Anton Kryvotsiuk</t>
  </si>
  <si>
    <t>Ukraina</t>
  </si>
  <si>
    <t>Mateusz Zukowski</t>
  </si>
  <si>
    <t>Milan Rundic</t>
  </si>
  <si>
    <t>Georgiy Tsitaishvili</t>
  </si>
  <si>
    <t>Jakub Kaluzinski</t>
  </si>
  <si>
    <t>Rafal Kurzawa</t>
  </si>
  <si>
    <t>Finlandia</t>
  </si>
  <si>
    <t>Michal Zyro</t>
  </si>
  <si>
    <t>Szkocja</t>
  </si>
  <si>
    <t>Rafal Makowski</t>
  </si>
  <si>
    <t>Marko Poletanovic</t>
  </si>
  <si>
    <t>Gwinea Bissau</t>
  </si>
  <si>
    <t>Wiktor Dlugosz</t>
  </si>
  <si>
    <t>Marcel Wedrychowski</t>
  </si>
  <si>
    <t>Víctor García</t>
  </si>
  <si>
    <t>Patryk Lipski</t>
  </si>
  <si>
    <t>Rafal Janicki</t>
  </si>
  <si>
    <t>Kacper Spiewak</t>
  </si>
  <si>
    <t>Felicio Brown Forbes</t>
  </si>
  <si>
    <t>Kostaryka</t>
  </si>
  <si>
    <t>Mateusz Zyro</t>
  </si>
  <si>
    <t>Michal Kopczynski</t>
  </si>
  <si>
    <t>Alan Czerwinski</t>
  </si>
  <si>
    <t>Kosowo</t>
  </si>
  <si>
    <t>Artem Putivtsev</t>
  </si>
  <si>
    <t>Mateusz Legowski</t>
  </si>
  <si>
    <t>Jesper Karlström</t>
  </si>
  <si>
    <t>Fábio Sturgeon</t>
  </si>
  <si>
    <t>Mateusz Holownia</t>
  </si>
  <si>
    <t>Milosz Matysik</t>
  </si>
  <si>
    <t>Japonia</t>
  </si>
  <si>
    <t>Mario Rondón</t>
  </si>
  <si>
    <t>Tomasz Pienko</t>
  </si>
  <si>
    <t>Jakub Zubrowski</t>
  </si>
  <si>
    <t>Bartlomiej Pawlowski</t>
  </si>
  <si>
    <t>Aleks Lawniczak</t>
  </si>
  <si>
    <t>Karol Podlinski</t>
  </si>
  <si>
    <t>Bartlomiej Kukulowicz</t>
  </si>
  <si>
    <t>Álex Serrano</t>
  </si>
  <si>
    <t>Daniel Lukasik</t>
  </si>
  <si>
    <t>Filip Mladenovic</t>
  </si>
  <si>
    <t>Bassekou Diabaté</t>
  </si>
  <si>
    <t>Maciej Urbanczyk</t>
  </si>
  <si>
    <t>Szymon Czyz</t>
  </si>
  <si>
    <t>Jakub Kielb</t>
  </si>
  <si>
    <t>Milosz Kozak</t>
  </si>
  <si>
    <t>Krzysztof Maczynski</t>
  </si>
  <si>
    <t>Mateusz Czyzycki</t>
  </si>
  <si>
    <t>Wenezuela</t>
  </si>
  <si>
    <t>Mali</t>
  </si>
  <si>
    <t>Francja</t>
  </si>
  <si>
    <t>Gwadelupa</t>
  </si>
  <si>
    <t>Nikola Kuveljic</t>
  </si>
  <si>
    <t>Przemyslaw Mystkowski</t>
  </si>
  <si>
    <t>Igor Kharatin</t>
  </si>
  <si>
    <t>Dominik Sokol</t>
  </si>
  <si>
    <t>Radoslaw Murawski</t>
  </si>
  <si>
    <t>Ernest Terpilowski</t>
  </si>
  <si>
    <t>Aschraf El Mahdioui</t>
  </si>
  <si>
    <t>Maroko</t>
  </si>
  <si>
    <t>Czarnogóra</t>
  </si>
  <si>
    <t>Patryk Czarnowski</t>
  </si>
  <si>
    <t>Mateusz Mlynski</t>
  </si>
  <si>
    <t>Lorenco Simic</t>
  </si>
  <si>
    <t>Radoslaw Cielemecki</t>
  </si>
  <si>
    <t>Blazej Augustyn</t>
  </si>
  <si>
    <t>Bozhidar Chorbadzhiyski</t>
  </si>
  <si>
    <t>Bułgaria</t>
  </si>
  <si>
    <t>Evgeniy Bashkirov</t>
  </si>
  <si>
    <t>Rosja</t>
  </si>
  <si>
    <t>Ariel Mosor</t>
  </si>
  <si>
    <t>Mateusz Kuzimski</t>
  </si>
  <si>
    <t>Georgiy Zhukov</t>
  </si>
  <si>
    <t>Kazachstan</t>
  </si>
  <si>
    <t>Michal Nalepa</t>
  </si>
  <si>
    <t>Zoran Arsenic</t>
  </si>
  <si>
    <t>Nikola Stojiljkovic</t>
  </si>
  <si>
    <t>Tomasz Kedziora</t>
  </si>
  <si>
    <t>Aleksandar Kolev</t>
  </si>
  <si>
    <t>Konrad Wrzesinski</t>
  </si>
  <si>
    <t>Republika Południowej Afryki</t>
  </si>
  <si>
    <t>Damian Zbozien</t>
  </si>
  <si>
    <t>Michal Pazdan</t>
  </si>
  <si>
    <t>Michal Kaput</t>
  </si>
  <si>
    <t>Ian Soler</t>
  </si>
  <si>
    <t>Przemyslaw Wisniewski</t>
  </si>
  <si>
    <t>Jakub Rzezniczak</t>
  </si>
  <si>
    <t>Martin Zeman</t>
  </si>
  <si>
    <t>Adam Hlousek</t>
  </si>
  <si>
    <t>Jurgen Çelhaka</t>
  </si>
  <si>
    <t>Ilya Zhigulev</t>
  </si>
  <si>
    <t>Alexandre Guedes</t>
  </si>
  <si>
    <t>Igor Sapala</t>
  </si>
  <si>
    <t>Bartlomiej Wdowik</t>
  </si>
  <si>
    <t>Andriy Dombrovskyi</t>
  </si>
  <si>
    <t>Maciej Orłowski</t>
  </si>
  <si>
    <t>Luís Rocha</t>
  </si>
  <si>
    <t>Kacper Smolinski</t>
  </si>
  <si>
    <t>Mykola Musolitin</t>
  </si>
  <si>
    <t>Luquinhas</t>
  </si>
  <si>
    <t>Sergiy Krykun</t>
  </si>
  <si>
    <t>Norwegia</t>
  </si>
  <si>
    <t>Macedonia Północna</t>
  </si>
  <si>
    <t>Estonia</t>
  </si>
  <si>
    <t>Pawel Stolarski</t>
  </si>
  <si>
    <t>Rafal Pietrzak</t>
  </si>
  <si>
    <t>Michal Mak</t>
  </si>
  <si>
    <t>Szwajcaria</t>
  </si>
  <si>
    <t>Występy</t>
  </si>
  <si>
    <t>Bramki</t>
  </si>
  <si>
    <t>Asysty</t>
  </si>
  <si>
    <t>Druga narodowość</t>
  </si>
  <si>
    <t>Pozycja</t>
  </si>
  <si>
    <t>Enis Fazlagic</t>
  </si>
  <si>
    <t>Pavel Pavlyuchenko</t>
  </si>
  <si>
    <t>Jean Jules</t>
  </si>
  <si>
    <t>Lubambo Musonda</t>
  </si>
  <si>
    <t>Kais Al-Ani</t>
  </si>
  <si>
    <t>Białoruś</t>
  </si>
  <si>
    <t>Nigeria</t>
  </si>
  <si>
    <t>Kamerun</t>
  </si>
  <si>
    <t>Afganistan</t>
  </si>
  <si>
    <t>Zambia</t>
  </si>
  <si>
    <t>Gwinea</t>
  </si>
  <si>
    <t>Senegal</t>
  </si>
  <si>
    <t>Australia</t>
  </si>
  <si>
    <t>Mauritius</t>
  </si>
  <si>
    <t>Irak</t>
  </si>
  <si>
    <t>Islandia</t>
  </si>
  <si>
    <t>Data ur. / wiek</t>
  </si>
  <si>
    <t>Obecny klub</t>
  </si>
  <si>
    <t>Wzrost</t>
  </si>
  <si>
    <t>Noga</t>
  </si>
  <si>
    <t>W drużynie od</t>
  </si>
  <si>
    <t>Wcześniej</t>
  </si>
  <si>
    <t>Kontrakt</t>
  </si>
  <si>
    <t>Wartość rynkowa</t>
  </si>
  <si>
    <t>14 lut 1993 (29)</t>
  </si>
  <si>
    <t>SV Ried</t>
  </si>
  <si>
    <t>1,94m</t>
  </si>
  <si>
    <t>prawonożny</t>
  </si>
  <si>
    <t>20 lut 2022</t>
  </si>
  <si>
    <t>SK Rapid Wiedeń</t>
  </si>
  <si>
    <t>30 cze 2023</t>
  </si>
  <si>
    <t>30 paź 2001 (20)</t>
  </si>
  <si>
    <t>1,92m</t>
  </si>
  <si>
    <t>1 sty 2019</t>
  </si>
  <si>
    <t>Legia Warszawa II</t>
  </si>
  <si>
    <t>30 cze 2025</t>
  </si>
  <si>
    <t>25 lip 2000 (21)</t>
  </si>
  <si>
    <t>1,90m</t>
  </si>
  <si>
    <t>25 maj 2020</t>
  </si>
  <si>
    <t>Stomil Olsztyn</t>
  </si>
  <si>
    <t>Kacper Tobiasz</t>
  </si>
  <si>
    <t>4 lis 2002 (19)</t>
  </si>
  <si>
    <t>1,91m</t>
  </si>
  <si>
    <t>lewonożny</t>
  </si>
  <si>
    <t>7 paź 2020</t>
  </si>
  <si>
    <t>30 cze 2026</t>
  </si>
  <si>
    <t>20 lut 1980 (42)</t>
  </si>
  <si>
    <t>Koniec kariery</t>
  </si>
  <si>
    <t>1,93m</t>
  </si>
  <si>
    <t>1 sie 2020</t>
  </si>
  <si>
    <t>AFC Bournemouth</t>
  </si>
  <si>
    <t>7 lis 1998 (23)</t>
  </si>
  <si>
    <t>Siarka Tarnobrzeg</t>
  </si>
  <si>
    <t>1,95m</t>
  </si>
  <si>
    <t>1 lip 2019</t>
  </si>
  <si>
    <t>Olimpia Grudziądz</t>
  </si>
  <si>
    <t>Maciej Kikolski</t>
  </si>
  <si>
    <t>23 lut 2004 (18)</t>
  </si>
  <si>
    <t>Pogoń Siedlce</t>
  </si>
  <si>
    <t>25 wrz 2021</t>
  </si>
  <si>
    <t>SV Werder Bremen</t>
  </si>
  <si>
    <t>7 lut 2001 (21)</t>
  </si>
  <si>
    <t>obunożny</t>
  </si>
  <si>
    <t>1 lip 2022</t>
  </si>
  <si>
    <t>11 lut 1997 (25)</t>
  </si>
  <si>
    <t>Clermont Foot 63</t>
  </si>
  <si>
    <t>1,87m</t>
  </si>
  <si>
    <t>1 lip 2018</t>
  </si>
  <si>
    <t>24 sty 1997 (25)</t>
  </si>
  <si>
    <t>1,75m</t>
  </si>
  <si>
    <t>23 sie 2021</t>
  </si>
  <si>
    <t>Nottingham Forest</t>
  </si>
  <si>
    <t>30 cze 2024</t>
  </si>
  <si>
    <t>22 sty 1998 (24)</t>
  </si>
  <si>
    <t>1,84m</t>
  </si>
  <si>
    <t>1 lip 2021</t>
  </si>
  <si>
    <t>Zorya Lugansk</t>
  </si>
  <si>
    <t>8 lut 1992 (30)</t>
  </si>
  <si>
    <t>Aris Saloniki</t>
  </si>
  <si>
    <t>6 maj 1998 (24)</t>
  </si>
  <si>
    <t>Bandirmaspor</t>
  </si>
  <si>
    <t>1 lip 2014</t>
  </si>
  <si>
    <t>Artur Jedrzejczyk</t>
  </si>
  <si>
    <t>4 lis 1987 (34)</t>
  </si>
  <si>
    <t>1,89m</t>
  </si>
  <si>
    <t>4 sty 2017</t>
  </si>
  <si>
    <t>FK Krasnodar</t>
  </si>
  <si>
    <t>Mateusz Grudzinski</t>
  </si>
  <si>
    <t>20 cze 2000 (22)</t>
  </si>
  <si>
    <t>Znicz Pruszków</t>
  </si>
  <si>
    <t>1,88m</t>
  </si>
  <si>
    <t>2 lut 2022</t>
  </si>
  <si>
    <t>Karol Noiszewski</t>
  </si>
  <si>
    <t>13 lis 1999 (22)</t>
  </si>
  <si>
    <t>26 lis 2021</t>
  </si>
  <si>
    <t>Josip Juranovic</t>
  </si>
  <si>
    <t>16 sie 1995 (26)</t>
  </si>
  <si>
    <t>1.FC Union Berlin</t>
  </si>
  <si>
    <t>1,73m</t>
  </si>
  <si>
    <t>31 lip 2020</t>
  </si>
  <si>
    <t>HNK Hajduk Split</t>
  </si>
  <si>
    <t>30 cze 2027</t>
  </si>
  <si>
    <t>23 gru 1996 (25)</t>
  </si>
  <si>
    <t>1,79m</t>
  </si>
  <si>
    <t>13 sie 2020</t>
  </si>
  <si>
    <t>Leicester City</t>
  </si>
  <si>
    <t>29 mar 1999 (23)</t>
  </si>
  <si>
    <t>28 lut 2020</t>
  </si>
  <si>
    <t>31 gru 2024</t>
  </si>
  <si>
    <t>2 lut 1995 (27)</t>
  </si>
  <si>
    <t>1 wrz 2021</t>
  </si>
  <si>
    <t>Ferencvárosi TC</t>
  </si>
  <si>
    <t>25 wrz 1994 (27)</t>
  </si>
  <si>
    <t>1,82m</t>
  </si>
  <si>
    <t>6 sty 2022</t>
  </si>
  <si>
    <t>31 gru 2023</t>
  </si>
  <si>
    <t>6 gru 2000 (21)</t>
  </si>
  <si>
    <t>1,83m</t>
  </si>
  <si>
    <t>28 sie 2021</t>
  </si>
  <si>
    <t>KF Tirana</t>
  </si>
  <si>
    <t>Jakub Kisiel</t>
  </si>
  <si>
    <t>5 lut 2003 (19)</t>
  </si>
  <si>
    <t>André Martins</t>
  </si>
  <si>
    <t>21 sty 1990 (32)</t>
  </si>
  <si>
    <t>Hapoel Beer Sheva</t>
  </si>
  <si>
    <t>1,69m</t>
  </si>
  <si>
    <t>6 wrz 2018</t>
  </si>
  <si>
    <t>Olympiakos Pireus</t>
  </si>
  <si>
    <t>Patryk Pierzak</t>
  </si>
  <si>
    <t>16 sty 2003 (19)</t>
  </si>
  <si>
    <t>Legia Warszawa U19</t>
  </si>
  <si>
    <t>30 kwi 1992 (30)</t>
  </si>
  <si>
    <t>1,86m</t>
  </si>
  <si>
    <t>7 lip 2022</t>
  </si>
  <si>
    <t>16 lut 1992 (30)</t>
  </si>
  <si>
    <t>1,74m</t>
  </si>
  <si>
    <t>Genclerbirligi Ankara</t>
  </si>
  <si>
    <t>11 paź 2001 (20)</t>
  </si>
  <si>
    <t>GKS Tychy</t>
  </si>
  <si>
    <t>4 lis 2020</t>
  </si>
  <si>
    <t>15 sie 1991 (30)</t>
  </si>
  <si>
    <t>1,80m</t>
  </si>
  <si>
    <t>21 lip 2020</t>
  </si>
  <si>
    <t>28 wrz 1996 (25)</t>
  </si>
  <si>
    <t>New York Red Bulls</t>
  </si>
  <si>
    <t>4 lip 2019</t>
  </si>
  <si>
    <t>Desportivo Aves (- 2020)</t>
  </si>
  <si>
    <t>17 wrz 1990 (31)</t>
  </si>
  <si>
    <t>Bartlomiej Ciepiela</t>
  </si>
  <si>
    <t>24 maj 2001 (21)</t>
  </si>
  <si>
    <t>21 lis 2020</t>
  </si>
  <si>
    <t>Igor Strzalek</t>
  </si>
  <si>
    <t>19 sty 2004 (18)</t>
  </si>
  <si>
    <t>27 lis 1993 (28)</t>
  </si>
  <si>
    <t>Panathinaikos Ateny</t>
  </si>
  <si>
    <t>Dynamo Kijów</t>
  </si>
  <si>
    <t>Tomasz Nawotka</t>
  </si>
  <si>
    <t>14 lut 1997 (25)</t>
  </si>
  <si>
    <t>Sandecja Nowy Sącz</t>
  </si>
  <si>
    <t>1,78m</t>
  </si>
  <si>
    <t>Rui Gomes</t>
  </si>
  <si>
    <t>4 wrz 1997 (24)</t>
  </si>
  <si>
    <t>Portimonense SC</t>
  </si>
  <si>
    <t>Kacper Skwierczynski</t>
  </si>
  <si>
    <t>11 sty 2003 (19)</t>
  </si>
  <si>
    <t>Ruch Chorzów</t>
  </si>
  <si>
    <t>1,77m</t>
  </si>
  <si>
    <t>16 sty 1999 (23)</t>
  </si>
  <si>
    <t>MOL Fehérvár FC</t>
  </si>
  <si>
    <t>GNK Dinamo Zagrzeb</t>
  </si>
  <si>
    <t>1 lip 1997 (24)</t>
  </si>
  <si>
    <t>Konyaspor</t>
  </si>
  <si>
    <t>Qarabağ FK</t>
  </si>
  <si>
    <t>19 mar 2001 (21)</t>
  </si>
  <si>
    <t>23 lut 2021</t>
  </si>
  <si>
    <t>2 wrz 2001 (20)</t>
  </si>
  <si>
    <t>5 lip 2019</t>
  </si>
  <si>
    <t>28 lip 1991 (30)</t>
  </si>
  <si>
    <t>AEK Larnaka</t>
  </si>
  <si>
    <t>1,85m</t>
  </si>
  <si>
    <t>31 maj 2024</t>
  </si>
  <si>
    <t>Bez klubu</t>
  </si>
  <si>
    <t>26 maj 1989 (33)</t>
  </si>
  <si>
    <t>30 sty 2023</t>
  </si>
  <si>
    <t>Szymon Wlodarczyk</t>
  </si>
  <si>
    <t>5 sty 2003 (19)</t>
  </si>
  <si>
    <t>5 cze 2020</t>
  </si>
  <si>
    <t>21 sie 1999 (22)</t>
  </si>
  <si>
    <t>Korona Kielce</t>
  </si>
  <si>
    <t>12 sty 2019</t>
  </si>
  <si>
    <t>Podbeskidzie Bielsko-Biała</t>
  </si>
  <si>
    <t>Wiktor Kaminski</t>
  </si>
  <si>
    <t>2 lip 2021</t>
  </si>
  <si>
    <t>31 gru 2025</t>
  </si>
  <si>
    <t>Ramil Mustafaev</t>
  </si>
  <si>
    <t>20 gru 2003 (18)</t>
  </si>
  <si>
    <t>Stal Rzeszów</t>
  </si>
  <si>
    <t>31 sty 2022</t>
  </si>
  <si>
    <t>13 cze 1994 (28)</t>
  </si>
  <si>
    <t>26 wrz 1992 (29)</t>
  </si>
  <si>
    <t>1 lip 2020</t>
  </si>
  <si>
    <t>Milosz Mleczko</t>
  </si>
  <si>
    <t>1 mar 1999 (23)</t>
  </si>
  <si>
    <t>12 lip 2016</t>
  </si>
  <si>
    <t>Krzysztof Bakowski</t>
  </si>
  <si>
    <t>4 sty 2003 (19)</t>
  </si>
  <si>
    <t>4 lut 2019</t>
  </si>
  <si>
    <t>23 lut 2000 (22)</t>
  </si>
  <si>
    <t>2 gru 1995 (26)</t>
  </si>
  <si>
    <t>19 lip 2019</t>
  </si>
  <si>
    <t>10 mar 1994 (28)</t>
  </si>
  <si>
    <t>10 sty 2021</t>
  </si>
  <si>
    <t>1 maj 1991 (31)</t>
  </si>
  <si>
    <t>9 sty 2021</t>
  </si>
  <si>
    <t>Thomas Rogne</t>
  </si>
  <si>
    <t>29 cze 1990 (32)</t>
  </si>
  <si>
    <t>1 sty 2018</t>
  </si>
  <si>
    <t>22 sie 2000 (21)</t>
  </si>
  <si>
    <t>Maksymilian Pingot</t>
  </si>
  <si>
    <t>1 kwi 2003 (19)</t>
  </si>
  <si>
    <t>1 lut 2022</t>
  </si>
  <si>
    <t>Patryk Walis</t>
  </si>
  <si>
    <t>1 lis 2003 (18)</t>
  </si>
  <si>
    <t>23 sty 1995 (27)</t>
  </si>
  <si>
    <t>1,71m</t>
  </si>
  <si>
    <t>4 wrz 1989 (32)</t>
  </si>
  <si>
    <t>1,76m</t>
  </si>
  <si>
    <t>10 lip 2021</t>
  </si>
  <si>
    <t>19 lip 2003 (18)</t>
  </si>
  <si>
    <t>27 sty 2021</t>
  </si>
  <si>
    <t>11 cze 1994 (28)</t>
  </si>
  <si>
    <t>2 lut 1993 (29)</t>
  </si>
  <si>
    <t>1,81m</t>
  </si>
  <si>
    <t>Filip Borowski</t>
  </si>
  <si>
    <t>6 paź 2003 (18)</t>
  </si>
  <si>
    <t>27 paź 2020</t>
  </si>
  <si>
    <t>21 cze 1995 (27)</t>
  </si>
  <si>
    <t>1 sty 2021</t>
  </si>
  <si>
    <t>29 maj 1992 (30)</t>
  </si>
  <si>
    <t>29 sty 2021</t>
  </si>
  <si>
    <t>Karlo Muhar</t>
  </si>
  <si>
    <t>17 sty 1996 (26)</t>
  </si>
  <si>
    <t>Antoni Kozubal</t>
  </si>
  <si>
    <t>18 sie 2004 (17)</t>
  </si>
  <si>
    <t>22 kwi 1994 (28)</t>
  </si>
  <si>
    <t>31 sie 1988 (33)</t>
  </si>
  <si>
    <t>2 lip 2018</t>
  </si>
  <si>
    <t>7 wrz 1991 (30)</t>
  </si>
  <si>
    <t>1,72m</t>
  </si>
  <si>
    <t>21 lip 2018</t>
  </si>
  <si>
    <t>Filip Marchwinski</t>
  </si>
  <si>
    <t>10 sty 2002 (20)</t>
  </si>
  <si>
    <t>12 gru 2018</t>
  </si>
  <si>
    <t>18 cze 1992 (30)</t>
  </si>
  <si>
    <t>6 lut 2020</t>
  </si>
  <si>
    <t>Maksym Czekala</t>
  </si>
  <si>
    <t>5 mar 2004 (18)</t>
  </si>
  <si>
    <t>13 maj 2022</t>
  </si>
  <si>
    <t>5 cze 2002 (20)</t>
  </si>
  <si>
    <t>18 gru 2018</t>
  </si>
  <si>
    <t>15 lut 2000 (22)</t>
  </si>
  <si>
    <t>Jan Sykora</t>
  </si>
  <si>
    <t>29 gru 1993 (28)</t>
  </si>
  <si>
    <t>24 sie 2020</t>
  </si>
  <si>
    <t>9 wrz 1999 (22)</t>
  </si>
  <si>
    <t>12 sty 2022</t>
  </si>
  <si>
    <t>29 kwi 2004 (18)</t>
  </si>
  <si>
    <t>1,68m</t>
  </si>
  <si>
    <t>25 lip 1996 (25)</t>
  </si>
  <si>
    <t>1,70m</t>
  </si>
  <si>
    <t>27 sie 2021</t>
  </si>
  <si>
    <t>Filip Wilak</t>
  </si>
  <si>
    <t>6 sie 2003 (18)</t>
  </si>
  <si>
    <t>Tymoteusz Klups</t>
  </si>
  <si>
    <t>26 lut 2000 (22)</t>
  </si>
  <si>
    <t>11 gru 2017</t>
  </si>
  <si>
    <t>31 mar 1993 (29)</t>
  </si>
  <si>
    <t>20 lip 2020</t>
  </si>
  <si>
    <t>14 mar 1997 (25)</t>
  </si>
  <si>
    <t>Roko Baturina</t>
  </si>
  <si>
    <t>12 cze 1990 (32)</t>
  </si>
  <si>
    <t>Norbert Paclawski</t>
  </si>
  <si>
    <t>19 lut 2004 (18)</t>
  </si>
  <si>
    <t>FC Emmen</t>
  </si>
  <si>
    <t>PEC Zwolle</t>
  </si>
  <si>
    <t>SC Heerenveen</t>
  </si>
  <si>
    <t>Lech Poznań II</t>
  </si>
  <si>
    <t>Lech Poznań U19</t>
  </si>
  <si>
    <t>DAC Dunajska Streda</t>
  </si>
  <si>
    <t>RSC Anderlecht</t>
  </si>
  <si>
    <t>SPAL</t>
  </si>
  <si>
    <t>Helsingborgs IF</t>
  </si>
  <si>
    <t>IFK Göteborg</t>
  </si>
  <si>
    <t>Odra Opole</t>
  </si>
  <si>
    <t>EA Guingamp</t>
  </si>
  <si>
    <t>Leeds United</t>
  </si>
  <si>
    <t>PAOK Saloniki</t>
  </si>
  <si>
    <t>Omonia Nikozja</t>
  </si>
  <si>
    <t>Zagłębie Sosnowiec</t>
  </si>
  <si>
    <t>Djurgårdens IF</t>
  </si>
  <si>
    <t>Tobył Kostanaj</t>
  </si>
  <si>
    <t>CSKA-Sofia</t>
  </si>
  <si>
    <t>CFR Cluj</t>
  </si>
  <si>
    <t>NK Inter Zapresic</t>
  </si>
  <si>
    <t>GKS Katowice</t>
  </si>
  <si>
    <t>Denizlispor</t>
  </si>
  <si>
    <t>Gil Vicente FC</t>
  </si>
  <si>
    <t>SC Braga</t>
  </si>
  <si>
    <t>Benfika Lizbona</t>
  </si>
  <si>
    <t>SV Zulte Waregem</t>
  </si>
  <si>
    <t>ŁKS Łódź</t>
  </si>
  <si>
    <t>VfL Wolfsburg</t>
  </si>
  <si>
    <t>FC Viktoria Pilzno</t>
  </si>
  <si>
    <t>SK Slavia Praga</t>
  </si>
  <si>
    <t>FK Haugesund</t>
  </si>
  <si>
    <t>1.FC Nürnberg</t>
  </si>
  <si>
    <t>Fortuna Düsseldorf</t>
  </si>
  <si>
    <t>Racing Santander</t>
  </si>
  <si>
    <t>Fatih Karagümrük</t>
  </si>
  <si>
    <t>Vladan Kovacevic</t>
  </si>
  <si>
    <t>FK Sarajevo</t>
  </si>
  <si>
    <t>23 sie 2019</t>
  </si>
  <si>
    <t>Raków Częstochowa II</t>
  </si>
  <si>
    <t>2 cze 1994 (28)</t>
  </si>
  <si>
    <t>SC Paderborn 07</t>
  </si>
  <si>
    <t>6 cze 2000 (22)</t>
  </si>
  <si>
    <t>27 sty 2022</t>
  </si>
  <si>
    <t>FC Botosani</t>
  </si>
  <si>
    <t>1,99m</t>
  </si>
  <si>
    <t>1 lip 2016</t>
  </si>
  <si>
    <t>FK Viktoria Zizkov</t>
  </si>
  <si>
    <t>11 sie 2020</t>
  </si>
  <si>
    <t>Panionios Athen</t>
  </si>
  <si>
    <t>8 maj 2000 (22)</t>
  </si>
  <si>
    <t>25 lut 2020</t>
  </si>
  <si>
    <t>Hakoah Amidar Ramat Gan</t>
  </si>
  <si>
    <t>10 sty 2022</t>
  </si>
  <si>
    <t>1 sty 2020</t>
  </si>
  <si>
    <t>10 maj 1996 (26)</t>
  </si>
  <si>
    <t>4 lut 2021</t>
  </si>
  <si>
    <t>20 kwi 1995 (27)</t>
  </si>
  <si>
    <t>1,65m</t>
  </si>
  <si>
    <t>Rozwój Katowice</t>
  </si>
  <si>
    <t>29 cze 1994 (28)</t>
  </si>
  <si>
    <t>1 wrz 2020</t>
  </si>
  <si>
    <t>Levante UD</t>
  </si>
  <si>
    <t>Vladyslav Kochergin</t>
  </si>
  <si>
    <t>30 kwi 1996 (26)</t>
  </si>
  <si>
    <t>15 lut 2021</t>
  </si>
  <si>
    <t>19 maj 1996 (26)</t>
  </si>
  <si>
    <t>ROW 1964 Rybnik</t>
  </si>
  <si>
    <t>Jakub Madrzyk</t>
  </si>
  <si>
    <t>Oskar Krzyzak</t>
  </si>
  <si>
    <t>Maciej Wilusz</t>
  </si>
  <si>
    <t>Valeriane Gvilia</t>
  </si>
  <si>
    <t>Empoli Primavera</t>
  </si>
  <si>
    <t>Iwo Kaczmarski</t>
  </si>
  <si>
    <t>Zarko Udovicic</t>
  </si>
  <si>
    <t>David Tijanic</t>
  </si>
  <si>
    <t>Pedro Vieira</t>
  </si>
  <si>
    <t>Daniel Szelagowski</t>
  </si>
  <si>
    <t>Ilya Shkurin</t>
  </si>
  <si>
    <t>11 kwi 1998 (24)</t>
  </si>
  <si>
    <t>19 sie 2003 (18)</t>
  </si>
  <si>
    <t>4 gru 2003 (18)</t>
  </si>
  <si>
    <t>20 lip 2021</t>
  </si>
  <si>
    <t>2 mar 1992 (30)</t>
  </si>
  <si>
    <t>29 mar 1992 (30)</t>
  </si>
  <si>
    <t>21 kwi 1989 (33)</t>
  </si>
  <si>
    <t>Miedź Legnica</t>
  </si>
  <si>
    <t>1 lip 2017</t>
  </si>
  <si>
    <t>24 sty 2002 (20)</t>
  </si>
  <si>
    <t>Skra Częstochowa</t>
  </si>
  <si>
    <t>Raków Częstochowa U19</t>
  </si>
  <si>
    <t>6 lis 2002 (19)</t>
  </si>
  <si>
    <t>Brisbane Roar</t>
  </si>
  <si>
    <t>26 lip 2021</t>
  </si>
  <si>
    <t>1 lip 2023</t>
  </si>
  <si>
    <t>25 wrz 1988 (33)</t>
  </si>
  <si>
    <t>4 sie 2020</t>
  </si>
  <si>
    <t>Ural Jekaterynburg</t>
  </si>
  <si>
    <t>18 lis 1998 (23)</t>
  </si>
  <si>
    <t>20 lip 1993 (28)</t>
  </si>
  <si>
    <t>3 sty 2020</t>
  </si>
  <si>
    <t>11 paź 1995 (26)</t>
  </si>
  <si>
    <t>21 mar 1994 (28)</t>
  </si>
  <si>
    <t>ASV Siegendorf</t>
  </si>
  <si>
    <t>24 lip 2021</t>
  </si>
  <si>
    <t>Eintracht Braunschweig</t>
  </si>
  <si>
    <t>28 lut 2003 (19)</t>
  </si>
  <si>
    <t>Dynamo Moskwa</t>
  </si>
  <si>
    <t>24 maj 1994 (28)</t>
  </si>
  <si>
    <t>31 sie 2021</t>
  </si>
  <si>
    <t>8 lip 2001 (20)</t>
  </si>
  <si>
    <t>16 kwi 2004 (18)</t>
  </si>
  <si>
    <t>18 sty 2021</t>
  </si>
  <si>
    <t>27 wrz 1995 (26)</t>
  </si>
  <si>
    <t>29 sie 1997 (24)</t>
  </si>
  <si>
    <t>FCSB</t>
  </si>
  <si>
    <t>21 sty 2022</t>
  </si>
  <si>
    <t>FC Dinamo 1948</t>
  </si>
  <si>
    <t>1 lip 2000 (21)</t>
  </si>
  <si>
    <t>31 sie 1987 (34)</t>
  </si>
  <si>
    <t>FK Mladost Lucani</t>
  </si>
  <si>
    <t>10 cze 2023</t>
  </si>
  <si>
    <t>16 lip 1997 (24)</t>
  </si>
  <si>
    <t>Al-Adalah FC</t>
  </si>
  <si>
    <t>8 sty 2020</t>
  </si>
  <si>
    <t>NK Triglav Kranj</t>
  </si>
  <si>
    <t>6 gru 1995 (26)</t>
  </si>
  <si>
    <t>28 sie 1996 (25)</t>
  </si>
  <si>
    <t>27 lut 1999 (23)</t>
  </si>
  <si>
    <t>Vitoria Guimarães SC</t>
  </si>
  <si>
    <t>4 lut 1994 (28)</t>
  </si>
  <si>
    <t>11 sie 2021</t>
  </si>
  <si>
    <t>OFI Kreta</t>
  </si>
  <si>
    <t>3 maj 2002 (20)</t>
  </si>
  <si>
    <t>Resovia Rzeszów</t>
  </si>
  <si>
    <t>15 lip 2021</t>
  </si>
  <si>
    <t>FC Porto U19</t>
  </si>
  <si>
    <t>2 wrz 2002 (19)</t>
  </si>
  <si>
    <t>Chojniczanka Chojnice</t>
  </si>
  <si>
    <t>16 wrz 2020</t>
  </si>
  <si>
    <t>2 kwi 1995 (27)</t>
  </si>
  <si>
    <t>17 sie 1999 (22)</t>
  </si>
  <si>
    <t>Maccabi Petah Tikva</t>
  </si>
  <si>
    <t>26 lut 2022</t>
  </si>
  <si>
    <t>CSKA Moskwa</t>
  </si>
  <si>
    <t>11 lut 1994 (28)</t>
  </si>
  <si>
    <t>FC Paços de Ferreira</t>
  </si>
  <si>
    <t>23 lip 2021</t>
  </si>
  <si>
    <t>FC Famalicão</t>
  </si>
  <si>
    <t>18 lut 2021</t>
  </si>
  <si>
    <t>30 maj 1991 (31)</t>
  </si>
  <si>
    <t>25 mar 1998 (24)</t>
  </si>
  <si>
    <t>4 lip 2017</t>
  </si>
  <si>
    <t>UKS SMS Łódź</t>
  </si>
  <si>
    <t>Bartosz Klebaniuk</t>
  </si>
  <si>
    <t>3 kwi 2002 (20)</t>
  </si>
  <si>
    <t>Dariusz Krzysztofek</t>
  </si>
  <si>
    <t>9 kwi 2000 (22)</t>
  </si>
  <si>
    <t>Unia Skierniewice</t>
  </si>
  <si>
    <t>Pogoń Szczecin II</t>
  </si>
  <si>
    <t>3 kwi 1993 (29)</t>
  </si>
  <si>
    <t>Asteras Tripolis</t>
  </si>
  <si>
    <t>3 lis 1990 (31)</t>
  </si>
  <si>
    <t>SCR Altach</t>
  </si>
  <si>
    <t>4 kwi 1995 (27)</t>
  </si>
  <si>
    <t>Igor Lasicki</t>
  </si>
  <si>
    <t>26 cze 1995 (27)</t>
  </si>
  <si>
    <t>3 lip 2019</t>
  </si>
  <si>
    <t>SSC Napoli</t>
  </si>
  <si>
    <t>Bartlomiej Mruk</t>
  </si>
  <si>
    <t>21 sie 2001 (20)</t>
  </si>
  <si>
    <t>Garbarnia Kraków</t>
  </si>
  <si>
    <t>6 lip 1997 (24)</t>
  </si>
  <si>
    <t>FC Porto B</t>
  </si>
  <si>
    <t>7 lis 1991 (30)</t>
  </si>
  <si>
    <t>11 sty 2019</t>
  </si>
  <si>
    <t>28 sty 1996 (26)</t>
  </si>
  <si>
    <t>Dawid Rezaeian</t>
  </si>
  <si>
    <t>26 cze 2002 (20)</t>
  </si>
  <si>
    <t>Iran</t>
  </si>
  <si>
    <t>20 wrz 2021</t>
  </si>
  <si>
    <t>27 sie 1992 (29)</t>
  </si>
  <si>
    <t>24 sie 2019</t>
  </si>
  <si>
    <t>Zawisza Bydgoszcz</t>
  </si>
  <si>
    <t>22 gru 2000 (21)</t>
  </si>
  <si>
    <t>12 lip 2018</t>
  </si>
  <si>
    <t>Pogoń Szczecin U19</t>
  </si>
  <si>
    <t>29 sty 1993 (29)</t>
  </si>
  <si>
    <t>16 lut 2021</t>
  </si>
  <si>
    <t>16 paź 2003 (18)</t>
  </si>
  <si>
    <t>Vitesse Arnhem</t>
  </si>
  <si>
    <t>9 maj 2019</t>
  </si>
  <si>
    <t>29 sty 2003 (19)</t>
  </si>
  <si>
    <t>21 lut 2019</t>
  </si>
  <si>
    <t>4 lis 1995 (26)</t>
  </si>
  <si>
    <t>22 sie 1998 (23)</t>
  </si>
  <si>
    <t>25 lis 2016</t>
  </si>
  <si>
    <t>9 lip 1999 (22)</t>
  </si>
  <si>
    <t>MSK Zilina</t>
  </si>
  <si>
    <t>Kacper Lukasiak</t>
  </si>
  <si>
    <t>24 wrz 2003 (18)</t>
  </si>
  <si>
    <t>8 cze 1988 (34)</t>
  </si>
  <si>
    <t>21 sie 2021</t>
  </si>
  <si>
    <t>West Bromwich Albion</t>
  </si>
  <si>
    <t>15 sty 2003 (19)</t>
  </si>
  <si>
    <t>Polonia Bytom</t>
  </si>
  <si>
    <t>20 mar 1991 (31)</t>
  </si>
  <si>
    <t>6 sie 2020</t>
  </si>
  <si>
    <t>13 sty 2002 (20)</t>
  </si>
  <si>
    <t>17 paź 2018</t>
  </si>
  <si>
    <t>28 paź 1988 (33)</t>
  </si>
  <si>
    <t>3 sie 2020</t>
  </si>
  <si>
    <t>HNK Rijeka</t>
  </si>
  <si>
    <t>15 lis 1995 (26)</t>
  </si>
  <si>
    <t>1 paź 2020</t>
  </si>
  <si>
    <t>NK Maribor</t>
  </si>
  <si>
    <t>8 wrz 1993 (28)</t>
  </si>
  <si>
    <t>CD Leganés</t>
  </si>
  <si>
    <t>12 lip 2021</t>
  </si>
  <si>
    <t>Frosinone Calcio</t>
  </si>
  <si>
    <t>7 sty 2022</t>
  </si>
  <si>
    <t>19 lut 1999 (23)</t>
  </si>
  <si>
    <t>Olimpia Elbląg</t>
  </si>
  <si>
    <t>13 lip 2017</t>
  </si>
  <si>
    <t>Zlatan Alomerovic</t>
  </si>
  <si>
    <t>15 cze 1991 (31)</t>
  </si>
  <si>
    <t>21 maj 1985 (37)</t>
  </si>
  <si>
    <t>3 lut 2017</t>
  </si>
  <si>
    <t>Hull City</t>
  </si>
  <si>
    <t>Michal Buchalik</t>
  </si>
  <si>
    <t>3 lut 1989 (33)</t>
  </si>
  <si>
    <t>1 sty 2022</t>
  </si>
  <si>
    <t>Antoni Mikulko</t>
  </si>
  <si>
    <t>11 lut 2005 (17)</t>
  </si>
  <si>
    <t>Wieczysta Kraków</t>
  </si>
  <si>
    <t>Lechia Gdańsk II</t>
  </si>
  <si>
    <t>22 sty 1993 (29)</t>
  </si>
  <si>
    <t>Henrik Castegren</t>
  </si>
  <si>
    <t>28 mar 1996 (26)</t>
  </si>
  <si>
    <t>18 lut 2022</t>
  </si>
  <si>
    <t>IFK Norrköping</t>
  </si>
  <si>
    <t>21 maj 1992 (30)</t>
  </si>
  <si>
    <t>4 maj 1989 (33)</t>
  </si>
  <si>
    <t>SpVgg Greuther Fürth</t>
  </si>
  <si>
    <t>30 sty 1992 (30)</t>
  </si>
  <si>
    <t>20 lut 2020</t>
  </si>
  <si>
    <t>Royal Excel Mouscron (-2022)</t>
  </si>
  <si>
    <t>23 lis 2001 (20)</t>
  </si>
  <si>
    <t>Lechia Gdańsk U19</t>
  </si>
  <si>
    <t>3 cze 1998 (24)</t>
  </si>
  <si>
    <t>Malmö FF</t>
  </si>
  <si>
    <t>14 sty 2021</t>
  </si>
  <si>
    <t>31 gru 2026</t>
  </si>
  <si>
    <t>24 lut 2004 (18)</t>
  </si>
  <si>
    <t>28 sty 2021</t>
  </si>
  <si>
    <t>10 maj 1994 (28)</t>
  </si>
  <si>
    <t>8 sty 2022</t>
  </si>
  <si>
    <t>TSV Hartberg</t>
  </si>
  <si>
    <t>7 sie 1995 (26)</t>
  </si>
  <si>
    <t>19 lip 1999 (22)</t>
  </si>
  <si>
    <t>18 lip 2018</t>
  </si>
  <si>
    <t>Jan Bieganski</t>
  </si>
  <si>
    <t>4 gru 2002 (19)</t>
  </si>
  <si>
    <t>13 gru 2000 (21)</t>
  </si>
  <si>
    <t>FK Lipawa</t>
  </si>
  <si>
    <t>8 maj 2003 (19)</t>
  </si>
  <si>
    <t>31 paź 2002 (19)</t>
  </si>
  <si>
    <t>5 lut 2020</t>
  </si>
  <si>
    <t>25 kwi 2000 (22)</t>
  </si>
  <si>
    <t>12 lut 2020</t>
  </si>
  <si>
    <t>21 sty 1999 (23)</t>
  </si>
  <si>
    <t>Östersunds FK</t>
  </si>
  <si>
    <t>Valmiera FC</t>
  </si>
  <si>
    <t>15 kwi 1991 (31)</t>
  </si>
  <si>
    <t>10 sie 2021</t>
  </si>
  <si>
    <t>19 mar 1991 (31)</t>
  </si>
  <si>
    <t>22 mar 1998 (24)</t>
  </si>
  <si>
    <t>3 kwi 1997 (25)</t>
  </si>
  <si>
    <t>9 sty 2020</t>
  </si>
  <si>
    <t>Figueirense Futebol Clube</t>
  </si>
  <si>
    <t>13 sty 1998 (24)</t>
  </si>
  <si>
    <t>Arka Gdynia</t>
  </si>
  <si>
    <t>11 lut 2020</t>
  </si>
  <si>
    <t>1 maj 1994 (28)</t>
  </si>
  <si>
    <t>St. Mirren FC</t>
  </si>
  <si>
    <t>4 sie 1991 (30)</t>
  </si>
  <si>
    <t>1.FC Düren</t>
  </si>
  <si>
    <t>3 lut 2022</t>
  </si>
  <si>
    <t>15 kwi 2000 (22)</t>
  </si>
  <si>
    <t>Yeelen Olympique</t>
  </si>
  <si>
    <t>FK Senica</t>
  </si>
  <si>
    <t>Witan</t>
  </si>
  <si>
    <t>8 paź 2001 (20)</t>
  </si>
  <si>
    <t>Indonezja</t>
  </si>
  <si>
    <t>Persija Jakarta</t>
  </si>
  <si>
    <t>FK Radnik Surdulica</t>
  </si>
  <si>
    <t>31 maj 2026</t>
  </si>
  <si>
    <t>24 lut 1993 (29)</t>
  </si>
  <si>
    <t>10 lut 2020</t>
  </si>
  <si>
    <t>HNK Gorica</t>
  </si>
  <si>
    <t>23 mar 2003 (19)</t>
  </si>
  <si>
    <t>27 maj 2020</t>
  </si>
  <si>
    <t>Lukasz Zjawinski</t>
  </si>
  <si>
    <t>11 lip 2001 (20)</t>
  </si>
  <si>
    <t>Widzew Łódź</t>
  </si>
  <si>
    <t>30 lip 2021</t>
  </si>
  <si>
    <t>19 wrz 1984 (37)</t>
  </si>
  <si>
    <t>8 lut 2016</t>
  </si>
  <si>
    <t>Michal Zachcial</t>
  </si>
  <si>
    <t>Karol Szymanski</t>
  </si>
  <si>
    <t>Jakub Szmatula</t>
  </si>
  <si>
    <t>Miguel Muñoz</t>
  </si>
  <si>
    <t>Maksym Gendera</t>
  </si>
  <si>
    <t>Wojciech Kaminski</t>
  </si>
  <si>
    <t>Tomasz Jodlowiec</t>
  </si>
  <si>
    <t>Bartosz Luczak</t>
  </si>
  <si>
    <t>Jakub Niedbala</t>
  </si>
  <si>
    <t>Stadion Slaski Chorzow</t>
  </si>
  <si>
    <t>Oskar Lesniak</t>
  </si>
  <si>
    <t>Tiago Alves</t>
  </si>
  <si>
    <t>Gabriel Kirejczyk</t>
  </si>
  <si>
    <t>25 sie 1999 (22)</t>
  </si>
  <si>
    <t>Piast Gliwice II</t>
  </si>
  <si>
    <t>8 mar 1992 (30)</t>
  </si>
  <si>
    <t>10 sty 2018</t>
  </si>
  <si>
    <t>25 cze 1993 (29)</t>
  </si>
  <si>
    <t>22 mar 1981 (41)</t>
  </si>
  <si>
    <t>1 lip 2008</t>
  </si>
  <si>
    <t>19 lut 2003 (19)</t>
  </si>
  <si>
    <t>22 gru 1994 (27)</t>
  </si>
  <si>
    <t>6 sie 1991 (30)</t>
  </si>
  <si>
    <t>11 lip 1997 (24)</t>
  </si>
  <si>
    <t>1,97m</t>
  </si>
  <si>
    <t>17 sty 2022</t>
  </si>
  <si>
    <t>22 lis 1996 (25)</t>
  </si>
  <si>
    <t>Real Murcia CF</t>
  </si>
  <si>
    <t>4 maj 1998 (24)</t>
  </si>
  <si>
    <t>AS Saint-Étienne</t>
  </si>
  <si>
    <t>12 sty 1991 (31)</t>
  </si>
  <si>
    <t>20 wrz 2002 (19)</t>
  </si>
  <si>
    <t>10 lut 1993 (29)</t>
  </si>
  <si>
    <t>8 sie 2018</t>
  </si>
  <si>
    <t>10 lut 2000 (22)</t>
  </si>
  <si>
    <t>Gwarek Tarnowskie Góry</t>
  </si>
  <si>
    <t>2 lut 2021</t>
  </si>
  <si>
    <t>Wigry Suwałki</t>
  </si>
  <si>
    <t>18 lut 1998 (24)</t>
  </si>
  <si>
    <t>5 sty 2022</t>
  </si>
  <si>
    <t>12 cze 1994 (28)</t>
  </si>
  <si>
    <t>12 wrz 1989 (32)</t>
  </si>
  <si>
    <t>11 paź 2021</t>
  </si>
  <si>
    <t>21 sty 2001 (21)</t>
  </si>
  <si>
    <t>8 wrz 1985 (36)</t>
  </si>
  <si>
    <t>2 wrz 2019</t>
  </si>
  <si>
    <t>19 mar 2003 (19)</t>
  </si>
  <si>
    <t>15 kwi 2022</t>
  </si>
  <si>
    <t>11 lut 2004 (18)</t>
  </si>
  <si>
    <t>14 wrz 1993 (28)</t>
  </si>
  <si>
    <t>5 paź 2000 (21)</t>
  </si>
  <si>
    <t>3 kwi 1992 (30)</t>
  </si>
  <si>
    <t>10 paź 2020</t>
  </si>
  <si>
    <t>5 maj 1996 (26)</t>
  </si>
  <si>
    <t>4 mar 1996 (26)</t>
  </si>
  <si>
    <t>MFK Ruzomberok</t>
  </si>
  <si>
    <t>7 paź 2004 (17)</t>
  </si>
  <si>
    <t>23 cze 1995 (27)</t>
  </si>
  <si>
    <t>Kisvárda FC</t>
  </si>
  <si>
    <t>26 lut 2020</t>
  </si>
  <si>
    <t>19 cze 1996 (26)</t>
  </si>
  <si>
    <t>Montedio Yamagata</t>
  </si>
  <si>
    <t>27 sie 2019</t>
  </si>
  <si>
    <t>31 sty 2024</t>
  </si>
  <si>
    <t>16 wrz 2000 (21)</t>
  </si>
  <si>
    <t>16 cze 1992 (30)</t>
  </si>
  <si>
    <t>19 lip 2021</t>
  </si>
  <si>
    <t>SD Eibar</t>
  </si>
  <si>
    <t>1 cze 1997 (25)</t>
  </si>
  <si>
    <t>23 sty 1996 (26)</t>
  </si>
  <si>
    <t>FC Flora Tallinn</t>
  </si>
  <si>
    <t>14 sty 1988 (34)</t>
  </si>
  <si>
    <t>FC Kopenhaga</t>
  </si>
  <si>
    <t>17 sie 1992 (29)</t>
  </si>
  <si>
    <t>Al-Riyadh SC</t>
  </si>
  <si>
    <t>20 sie 2021</t>
  </si>
  <si>
    <t>SC Farense</t>
  </si>
  <si>
    <t>4 maj 1999 (23)</t>
  </si>
  <si>
    <t>Hallescher FC</t>
  </si>
  <si>
    <t>20 wrz 1992 (29)</t>
  </si>
  <si>
    <t>12 lut 2003 (19)</t>
  </si>
  <si>
    <t>AP Profi</t>
  </si>
  <si>
    <t>Krzysztof Kaminski</t>
  </si>
  <si>
    <t>26 lis 1990 (31)</t>
  </si>
  <si>
    <t>Júbilo Iwata</t>
  </si>
  <si>
    <t>Damian Weglarz</t>
  </si>
  <si>
    <t>21 mar 1996 (26)</t>
  </si>
  <si>
    <t>Chrobry Głogów</t>
  </si>
  <si>
    <t>Wisła Puławy</t>
  </si>
  <si>
    <t>Bartlomiej Gradecki</t>
  </si>
  <si>
    <t>26 gru 1999 (22)</t>
  </si>
  <si>
    <t>10 lip 2017</t>
  </si>
  <si>
    <t>Wisła Płock II</t>
  </si>
  <si>
    <t>Piotr Zielinski</t>
  </si>
  <si>
    <t>8 sty 1999 (23)</t>
  </si>
  <si>
    <t>12 lut 2022</t>
  </si>
  <si>
    <t>Michal Oczkowski</t>
  </si>
  <si>
    <t>8 maj 2001 (21)</t>
  </si>
  <si>
    <t>17 maj 1998 (24)</t>
  </si>
  <si>
    <t>GKS Bełchatów</t>
  </si>
  <si>
    <t>20 sie 1998 (23)</t>
  </si>
  <si>
    <t>Daejeon Hana Citizen</t>
  </si>
  <si>
    <t>Neftchi Baku</t>
  </si>
  <si>
    <t>29 mar 1994 (28)</t>
  </si>
  <si>
    <t>Debreceni VSC</t>
  </si>
  <si>
    <t>FK Sochi</t>
  </si>
  <si>
    <t>Milan Obradovic</t>
  </si>
  <si>
    <t>27 gru 1999 (22)</t>
  </si>
  <si>
    <t>FK Javor-Matis Ivanjica</t>
  </si>
  <si>
    <t>FK Napredak Krusevac</t>
  </si>
  <si>
    <t>26 paź 1986 (35)</t>
  </si>
  <si>
    <t>Pordenone Calcio</t>
  </si>
  <si>
    <t>31 mar 1999 (23)</t>
  </si>
  <si>
    <t>Igor Drapinski</t>
  </si>
  <si>
    <t>31 maj 2004 (18)</t>
  </si>
  <si>
    <t>UKS SMS Łódź U19</t>
  </si>
  <si>
    <t>31 paź 1987 (34)</t>
  </si>
  <si>
    <t>Marcel Blachewicz</t>
  </si>
  <si>
    <t>6 maj 2003 (19)</t>
  </si>
  <si>
    <t>FCB Escola Varsovia U19</t>
  </si>
  <si>
    <t>14 lis 2001 (20)</t>
  </si>
  <si>
    <t>25 kwi 1989 (33)</t>
  </si>
  <si>
    <t>14 maj 1996 (26)</t>
  </si>
  <si>
    <t>Aalborg BK</t>
  </si>
  <si>
    <t>8 lut 1996 (26)</t>
  </si>
  <si>
    <t>6 lip 1992 (29)</t>
  </si>
  <si>
    <t>6 lip 2021</t>
  </si>
  <si>
    <t>10 lis 1992 (29)</t>
  </si>
  <si>
    <t>19 mar 1993 (29)</t>
  </si>
  <si>
    <t>19 lip 1995 (26)</t>
  </si>
  <si>
    <t>14 lip 2021</t>
  </si>
  <si>
    <t>17 sty 2003 (19)</t>
  </si>
  <si>
    <t>Dawid Krzyzanski</t>
  </si>
  <si>
    <t>8 lis 2001 (20)</t>
  </si>
  <si>
    <t>15 kwi 2021</t>
  </si>
  <si>
    <t>21 wrz 1995 (26)</t>
  </si>
  <si>
    <t>Ludogorets Razgrad</t>
  </si>
  <si>
    <t>30 sie 2021</t>
  </si>
  <si>
    <t>Luka Susnjara</t>
  </si>
  <si>
    <t>4 kwi 1997 (25)</t>
  </si>
  <si>
    <t>NK Tabor Sezana</t>
  </si>
  <si>
    <t>26 sty 2021</t>
  </si>
  <si>
    <t>FC Chambly Oise</t>
  </si>
  <si>
    <t>31 maj 2023</t>
  </si>
  <si>
    <t>17 sie 2005 (16)</t>
  </si>
  <si>
    <t>7 wrz 2021</t>
  </si>
  <si>
    <t>14 mar 2002 (20)</t>
  </si>
  <si>
    <t>Radunia Stężyca</t>
  </si>
  <si>
    <t>Zagłębie Lubin II</t>
  </si>
  <si>
    <t>2 cze 1998 (24)</t>
  </si>
  <si>
    <t>Dawid Kocyla</t>
  </si>
  <si>
    <t>23 lip 2002 (19)</t>
  </si>
  <si>
    <t>31 maj 1995 (27)</t>
  </si>
  <si>
    <t>Patryk Tuszynski</t>
  </si>
  <si>
    <t>13 gru 1989 (32)</t>
  </si>
  <si>
    <t>Jan Szpaderski</t>
  </si>
  <si>
    <t>Gonçalo Silva</t>
  </si>
  <si>
    <t>Mateusz Bodzioch</t>
  </si>
  <si>
    <t>Simba Jonathan Bwanga</t>
  </si>
  <si>
    <t>Maciej Swidzikowski</t>
  </si>
  <si>
    <t>Luizão</t>
  </si>
  <si>
    <t>Jakub Snopczynski</t>
  </si>
  <si>
    <t>Milosz Zurawski</t>
  </si>
  <si>
    <t>Dawid Olejarka</t>
  </si>
  <si>
    <t>Franciszek Wroblewski</t>
  </si>
  <si>
    <t>Jô Santos</t>
  </si>
  <si>
    <t>9 lut 2000 (22)</t>
  </si>
  <si>
    <t>Pafos FC</t>
  </si>
  <si>
    <t>Cracovia II</t>
  </si>
  <si>
    <t>16 sie 2021</t>
  </si>
  <si>
    <t>31 sie 1998 (23)</t>
  </si>
  <si>
    <t>MKS Kluczbork</t>
  </si>
  <si>
    <t>25 lip 1990 (31)</t>
  </si>
  <si>
    <t>FC Sion</t>
  </si>
  <si>
    <t>31 sty 1992 (30)</t>
  </si>
  <si>
    <t>4 cze 1991 (31)</t>
  </si>
  <si>
    <t>7 lip 2021</t>
  </si>
  <si>
    <t>B SAD</t>
  </si>
  <si>
    <t>4 cze 1990 (32)</t>
  </si>
  <si>
    <t>5 paź 2020</t>
  </si>
  <si>
    <t>8 gru 2000 (21)</t>
  </si>
  <si>
    <t>Radomiak Radom II</t>
  </si>
  <si>
    <t>28 lip 2021</t>
  </si>
  <si>
    <t xml:space="preserve">KTS Weszło Warszawa </t>
  </si>
  <si>
    <t>9 wrz 1989 (32)</t>
  </si>
  <si>
    <t>1 lip 2009</t>
  </si>
  <si>
    <t>21 lip 2021</t>
  </si>
  <si>
    <t>16 maj 1991 (31)</t>
  </si>
  <si>
    <t>18 kwi 1993 (29)</t>
  </si>
  <si>
    <t>17 sie 2020</t>
  </si>
  <si>
    <t>25 mar 1990 (32)</t>
  </si>
  <si>
    <t>20 lut 1998 (24)</t>
  </si>
  <si>
    <t>Worskła Połtawa</t>
  </si>
  <si>
    <t>ŁKS Łomża</t>
  </si>
  <si>
    <t>7 sty 1995 (27)</t>
  </si>
  <si>
    <t>21 lut 2021</t>
  </si>
  <si>
    <t>27 lut 1993 (29)</t>
  </si>
  <si>
    <t>26 wrz 2018</t>
  </si>
  <si>
    <t>22 sty 2001 (21)</t>
  </si>
  <si>
    <t>1.FC Tatran Presov</t>
  </si>
  <si>
    <t>28 kwi 1991 (31)</t>
  </si>
  <si>
    <t>11 lut 2022</t>
  </si>
  <si>
    <t>MKE Ankaragücü</t>
  </si>
  <si>
    <t>15 sty 1997 (25)</t>
  </si>
  <si>
    <t>12 paź 2021</t>
  </si>
  <si>
    <t>5 lip 2005 (16)</t>
  </si>
  <si>
    <t>25 lis 2021</t>
  </si>
  <si>
    <t>Radomiak Radom U19</t>
  </si>
  <si>
    <t>17 kwi 2006 (16)</t>
  </si>
  <si>
    <t>20 maj 2022</t>
  </si>
  <si>
    <t>2 kwi 1993 (29)</t>
  </si>
  <si>
    <t>22 wrz 2020</t>
  </si>
  <si>
    <t>25 sty 2000 (22)</t>
  </si>
  <si>
    <t>GD Fontinhas</t>
  </si>
  <si>
    <t>25 lip 2021</t>
  </si>
  <si>
    <t>Botafogo de Futebol e Regatas</t>
  </si>
  <si>
    <t>27 gru 2001 (20)</t>
  </si>
  <si>
    <t>2 sty 2000 (22)</t>
  </si>
  <si>
    <t>10 lut 2022</t>
  </si>
  <si>
    <t>Remo Stars FC</t>
  </si>
  <si>
    <t>4 lis 1992 (29)</t>
  </si>
  <si>
    <t>NorthEast United FC</t>
  </si>
  <si>
    <t>23 maj 1997 (25)</t>
  </si>
  <si>
    <t>9 sie 2020</t>
  </si>
  <si>
    <t>10 paź 2000 (21)</t>
  </si>
  <si>
    <t>FK Humenne</t>
  </si>
  <si>
    <t>19 lut 2022</t>
  </si>
  <si>
    <t>26 lis 1988 (33)</t>
  </si>
  <si>
    <t>16 lip 2012</t>
  </si>
  <si>
    <t>Zawisza Rzgow</t>
  </si>
  <si>
    <t>31 mar 1991 (31)</t>
  </si>
  <si>
    <t>FK Bylis</t>
  </si>
  <si>
    <t>Al-Riffa SC</t>
  </si>
  <si>
    <t>20 mar 1996 (26)</t>
  </si>
  <si>
    <t>Sivasspor</t>
  </si>
  <si>
    <t>21 sie 2020</t>
  </si>
  <si>
    <t>FC St. Pauli</t>
  </si>
  <si>
    <t>16 maj 1999 (23)</t>
  </si>
  <si>
    <t>1 sty 2017</t>
  </si>
  <si>
    <t>Broń Radom</t>
  </si>
  <si>
    <t>26 mar 1986 (36)</t>
  </si>
  <si>
    <t>Sepsi OSK Sf. Gheorghe</t>
  </si>
  <si>
    <t>5 lip 2021</t>
  </si>
  <si>
    <t>30 kwi 1999 (23)</t>
  </si>
  <si>
    <t>Górnik Zabrze II</t>
  </si>
  <si>
    <t>5 wrz 1989 (32)</t>
  </si>
  <si>
    <t>1,96m</t>
  </si>
  <si>
    <t>17 lip 2021</t>
  </si>
  <si>
    <t>Pawel Sokol</t>
  </si>
  <si>
    <t>2 mar 2000 (22)</t>
  </si>
  <si>
    <t>27 lip 1998 (23)</t>
  </si>
  <si>
    <t>Spezia Calcio</t>
  </si>
  <si>
    <t>6 kwi 2018</t>
  </si>
  <si>
    <t>13 gru 1999 (22)</t>
  </si>
  <si>
    <t>8 lut 2018</t>
  </si>
  <si>
    <t>Gwarek Zabrze U19</t>
  </si>
  <si>
    <t>5 lip 1992 (29)</t>
  </si>
  <si>
    <t>16 lip 2021</t>
  </si>
  <si>
    <t>Jakub Szymanski</t>
  </si>
  <si>
    <t>5 lip 2002 (19)</t>
  </si>
  <si>
    <t>13 lip 2021</t>
  </si>
  <si>
    <t>Stefanos Evangelou</t>
  </si>
  <si>
    <t>12 maj 1998 (24)</t>
  </si>
  <si>
    <t>FC Sheriff Tyraspol</t>
  </si>
  <si>
    <t>Krzysztof Wingralek</t>
  </si>
  <si>
    <t>29 wrz 2002 (19)</t>
  </si>
  <si>
    <t>15 gru 2021</t>
  </si>
  <si>
    <t>25 lut 1999 (23)</t>
  </si>
  <si>
    <t>22 kwi 2016</t>
  </si>
  <si>
    <t>Filip Bainovic</t>
  </si>
  <si>
    <t>23 cze 1996 (26)</t>
  </si>
  <si>
    <t>AS Trencin</t>
  </si>
  <si>
    <t>FK Rad Belgrad</t>
  </si>
  <si>
    <t>Albacete Balompié</t>
  </si>
  <si>
    <t>23 kwi 1998 (24)</t>
  </si>
  <si>
    <t>22 mar 2003 (19)</t>
  </si>
  <si>
    <t>25 maj 2000 (22)</t>
  </si>
  <si>
    <t>Benevento Calcio</t>
  </si>
  <si>
    <t>5 lip 2018</t>
  </si>
  <si>
    <t>8 kwi 1998 (24)</t>
  </si>
  <si>
    <t>Odense Boldklub</t>
  </si>
  <si>
    <t>12 lip 2019</t>
  </si>
  <si>
    <t>FC Barcelona B</t>
  </si>
  <si>
    <t>5 paź 2001 (20)</t>
  </si>
  <si>
    <t>3 wrz 2020</t>
  </si>
  <si>
    <t>Mateusz Ziolkowski</t>
  </si>
  <si>
    <t>29 sie 2003 (18)</t>
  </si>
  <si>
    <t>10 kwi 2022</t>
  </si>
  <si>
    <t>Górnik Zabrze U19</t>
  </si>
  <si>
    <t>Kacper Michalski</t>
  </si>
  <si>
    <t>3 sty 2000 (22)</t>
  </si>
  <si>
    <t>21 cze 1993 (29)</t>
  </si>
  <si>
    <t>NK Osijek</t>
  </si>
  <si>
    <t>Michal Rostkowski</t>
  </si>
  <si>
    <t>10 sie 2000 (21)</t>
  </si>
  <si>
    <t>25 sie 1993 (28)</t>
  </si>
  <si>
    <t>24 gru 1996 (25)</t>
  </si>
  <si>
    <t>8 gru 2005 (16)</t>
  </si>
  <si>
    <t>Milan Primavera</t>
  </si>
  <si>
    <t>4 cze 1985 (37)</t>
  </si>
  <si>
    <t>Antalyaspor</t>
  </si>
  <si>
    <t>5 sty 1991 (31)</t>
  </si>
  <si>
    <t>Aris Limassol</t>
  </si>
  <si>
    <t>Arsen Grosu</t>
  </si>
  <si>
    <t>13 kwi 2001 (21)</t>
  </si>
  <si>
    <t>Nikodem Zielonka</t>
  </si>
  <si>
    <t>17 sie 2004 (17)</t>
  </si>
  <si>
    <t>Bartlomiej Korbecki</t>
  </si>
  <si>
    <t>23 lut 2002 (20)</t>
  </si>
  <si>
    <t>Ishmael Baidoo</t>
  </si>
  <si>
    <t>1 gru 1998 (23)</t>
  </si>
  <si>
    <t>Veria NPS</t>
  </si>
  <si>
    <t>5 lut 2019</t>
  </si>
  <si>
    <t>Septemvri Sofia</t>
  </si>
  <si>
    <t>5 lis 1993 (28)</t>
  </si>
  <si>
    <t>FC Dallas</t>
  </si>
  <si>
    <t>CF Talavera de la Reina</t>
  </si>
  <si>
    <t>19 paź 1993 (28)</t>
  </si>
  <si>
    <t>28 lut 2022</t>
  </si>
  <si>
    <t>20 maj 1997 (25)</t>
  </si>
  <si>
    <t>Spartak Trnava</t>
  </si>
  <si>
    <t>David Tosevski</t>
  </si>
  <si>
    <t>16 lip 2001 (20)</t>
  </si>
  <si>
    <t>FK Rostov</t>
  </si>
  <si>
    <t>29 gru 1994 (27)</t>
  </si>
  <si>
    <t>Legionovia Legionowo</t>
  </si>
  <si>
    <t>5 lut 1990 (32)</t>
  </si>
  <si>
    <t>Vamara Sanogo</t>
  </si>
  <si>
    <t>22 kwi 1995 (27)</t>
  </si>
  <si>
    <t>Marsaxlokk FC</t>
  </si>
  <si>
    <t>12 sie 2021</t>
  </si>
  <si>
    <t>Dinamo Batumi</t>
  </si>
  <si>
    <t>Jan Ciucka</t>
  </si>
  <si>
    <t>19 cze 2003 (19)</t>
  </si>
  <si>
    <t>Górnik Polkowice</t>
  </si>
  <si>
    <t>14 sty 2022</t>
  </si>
  <si>
    <t>Rekord Bielsko-Biała</t>
  </si>
  <si>
    <t>19 kwi 1987 (35)</t>
  </si>
  <si>
    <t>Motor Lublin</t>
  </si>
  <si>
    <t>Filip Kramarz</t>
  </si>
  <si>
    <t>22 cze 2004 (18)</t>
  </si>
  <si>
    <t>4 cze 1998 (24)</t>
  </si>
  <si>
    <t>5 maj 1992 (30)</t>
  </si>
  <si>
    <t>Krystian Bracik</t>
  </si>
  <si>
    <t>Oskar Wojcik</t>
  </si>
  <si>
    <t>Zemplin Michalovce</t>
  </si>
  <si>
    <t>Robert Ozog</t>
  </si>
  <si>
    <t>27 cze 1995 (27)</t>
  </si>
  <si>
    <t>19 kwi 2000 (22)</t>
  </si>
  <si>
    <t>7 cze 2002 (20)</t>
  </si>
  <si>
    <t>Yevgen Konoplyanka</t>
  </si>
  <si>
    <t>Przemyslaw Kapek</t>
  </si>
  <si>
    <t>7 maj 2003 (19)</t>
  </si>
  <si>
    <t>Marcin Budzinski</t>
  </si>
  <si>
    <t>Kamil Ogorzaly</t>
  </si>
  <si>
    <t>Puszcza Niepołomice</t>
  </si>
  <si>
    <t>FCV Farul Constanta</t>
  </si>
  <si>
    <t>Levski Sofia</t>
  </si>
  <si>
    <t>11 maj 2021</t>
  </si>
  <si>
    <t>7 sie 2020</t>
  </si>
  <si>
    <t>Cracovia U19</t>
  </si>
  <si>
    <t>12 lip 2022</t>
  </si>
  <si>
    <t>Lyngby BK</t>
  </si>
  <si>
    <t>19 maj 2022</t>
  </si>
  <si>
    <t>CD Tenerife</t>
  </si>
  <si>
    <t>31 lip 2018</t>
  </si>
  <si>
    <t>31 maj 2017</t>
  </si>
  <si>
    <t>7 lip 2017</t>
  </si>
  <si>
    <t>2 maj 2019</t>
  </si>
  <si>
    <t>9 lut 2018</t>
  </si>
  <si>
    <t>29 maj 2020</t>
  </si>
  <si>
    <t>Szachtar Donieck</t>
  </si>
  <si>
    <t>14 lip 2017</t>
  </si>
  <si>
    <t>5 lip 1999 (22)</t>
  </si>
  <si>
    <t>21 lis 1997 (24)</t>
  </si>
  <si>
    <t>Hutnik Kraków</t>
  </si>
  <si>
    <t>11 lut 2015</t>
  </si>
  <si>
    <t>13 lut 1996 (26)</t>
  </si>
  <si>
    <t>KV Oostende</t>
  </si>
  <si>
    <t>11 wrz 2020</t>
  </si>
  <si>
    <t>NK Varazdin</t>
  </si>
  <si>
    <t>8 paź 1991 (30)</t>
  </si>
  <si>
    <t>Mateusz Pienczak</t>
  </si>
  <si>
    <t>9 sty 2003 (19)</t>
  </si>
  <si>
    <t>15 lip 2020</t>
  </si>
  <si>
    <t>Jan Ziewiec</t>
  </si>
  <si>
    <t>13 maj 2004 (18)</t>
  </si>
  <si>
    <t>18 gru 2020</t>
  </si>
  <si>
    <t>18 mar 2001 (21)</t>
  </si>
  <si>
    <t>Jakub Goralczyk</t>
  </si>
  <si>
    <t>14 wrz 2002 (19)</t>
  </si>
  <si>
    <t>Polonia Łaziska Górne</t>
  </si>
  <si>
    <t>9 paź 2020</t>
  </si>
  <si>
    <t>Lukasz Ziemnik</t>
  </si>
  <si>
    <t>16 kwi 2002 (20)</t>
  </si>
  <si>
    <t>ŁKS Łagów</t>
  </si>
  <si>
    <t>21 lip 2003 (18)</t>
  </si>
  <si>
    <t>27 cze 1993 (29)</t>
  </si>
  <si>
    <t>PAE Chania</t>
  </si>
  <si>
    <t>24 lut 2021</t>
  </si>
  <si>
    <t>Oliwier Hyla</t>
  </si>
  <si>
    <t>24 sie 2004 (17)</t>
  </si>
  <si>
    <t>2 sie 1995 (26)</t>
  </si>
  <si>
    <t>12 wrz 2001 (20)</t>
  </si>
  <si>
    <t>18 wrz 1999 (22)</t>
  </si>
  <si>
    <t>13 sie 1996 (25)</t>
  </si>
  <si>
    <t>Istanbulspor</t>
  </si>
  <si>
    <t>15 sty 2020</t>
  </si>
  <si>
    <t>ACSM Politehnica Iasi</t>
  </si>
  <si>
    <t>Radoslaw Kanach</t>
  </si>
  <si>
    <t>3 kwi 1999 (23)</t>
  </si>
  <si>
    <t>Damir Sadikovic</t>
  </si>
  <si>
    <t>7 kwi 1995 (27)</t>
  </si>
  <si>
    <t>FK Kolubara Lazarevac</t>
  </si>
  <si>
    <t>FK Zeljeznicar Sarajevo</t>
  </si>
  <si>
    <t>8 sty 2000 (22)</t>
  </si>
  <si>
    <t>16 sty 1990 (32)</t>
  </si>
  <si>
    <t>2 lut 1996 (26)</t>
  </si>
  <si>
    <t>Michal Wisniewski</t>
  </si>
  <si>
    <t>2 maj 1999 (23)</t>
  </si>
  <si>
    <t>13 lis 2020</t>
  </si>
  <si>
    <t>1 kwi 1996 (26)</t>
  </si>
  <si>
    <t>29 wrz 1989 (32)</t>
  </si>
  <si>
    <t>30 mar 2002 (20)</t>
  </si>
  <si>
    <t>18 mar 1997 (25)</t>
  </si>
  <si>
    <t>17 sty 2020</t>
  </si>
  <si>
    <t>4 kwi 1992 (30)</t>
  </si>
  <si>
    <t>Universitatea Craiova</t>
  </si>
  <si>
    <t>29 kwi 1995 (27)</t>
  </si>
  <si>
    <t>12 sie 2020</t>
  </si>
  <si>
    <t>FC Viitorul Constanta</t>
  </si>
  <si>
    <t>2 sie 1997 (24)</t>
  </si>
  <si>
    <t>FC Trinity Zlin</t>
  </si>
  <si>
    <t>ViOn Zlate Moravce-Vrable</t>
  </si>
  <si>
    <t>26 maj 1995 (27)</t>
  </si>
  <si>
    <t>FC Imabari</t>
  </si>
  <si>
    <t>5 wrz 2000 (21)</t>
  </si>
  <si>
    <t>30 wrz 1991 (30)</t>
  </si>
  <si>
    <t>SV Meppen</t>
  </si>
  <si>
    <t>VfL Osnabrück</t>
  </si>
  <si>
    <t>Tomasz Bala</t>
  </si>
  <si>
    <t>8 lut 2001 (21)</t>
  </si>
  <si>
    <t>Jedrzej Grobelny</t>
  </si>
  <si>
    <t>Patryk Prange</t>
  </si>
  <si>
    <t>Aleksandr Pavlovets</t>
  </si>
  <si>
    <t>Wiktor Plesnierowicz</t>
  </si>
  <si>
    <t>Albert Zerkowski</t>
  </si>
  <si>
    <t>Jarota Jarocin</t>
  </si>
  <si>
    <t>Filip Malek</t>
  </si>
  <si>
    <t>Nikodem Fiedosewicz</t>
  </si>
  <si>
    <t>Niilo Mäenpää</t>
  </si>
  <si>
    <t>Mikolaj Rakowski</t>
  </si>
  <si>
    <t>Mikolaj Stangel</t>
  </si>
  <si>
    <t>Bartlomiej Burman</t>
  </si>
  <si>
    <t>Michal Jakobowski</t>
  </si>
  <si>
    <t>Mateusz Sopocko</t>
  </si>
  <si>
    <t>Mario Rodríguez</t>
  </si>
  <si>
    <t>28 maj 1992 (30)</t>
  </si>
  <si>
    <t>Polonia Środa Wielkopolska</t>
  </si>
  <si>
    <t>28 cze 2001 (21)</t>
  </si>
  <si>
    <t>Warta Poznań U19</t>
  </si>
  <si>
    <t>19 wrz 1994 (27)</t>
  </si>
  <si>
    <t>FC Honka</t>
  </si>
  <si>
    <t>5 maj 1999 (23)</t>
  </si>
  <si>
    <t>9 lip 2019</t>
  </si>
  <si>
    <t>Miedź Legnica II</t>
  </si>
  <si>
    <t>PAS Lamia 1964</t>
  </si>
  <si>
    <t>22 kwi 2022</t>
  </si>
  <si>
    <t>7 lip 1995 (26)</t>
  </si>
  <si>
    <t>20 paź 2021</t>
  </si>
  <si>
    <t>5 lut 2022</t>
  </si>
  <si>
    <t>1 sie 1990 (31)</t>
  </si>
  <si>
    <t>1 sty 2016</t>
  </si>
  <si>
    <t>29 mar 2001 (21)</t>
  </si>
  <si>
    <t>15 wrz 2003 (18)</t>
  </si>
  <si>
    <t>29 lip 2021</t>
  </si>
  <si>
    <t>3 sty 2002 (20)</t>
  </si>
  <si>
    <t>Tarnovia Tarnowo Podgorne</t>
  </si>
  <si>
    <t>1 cze 2020</t>
  </si>
  <si>
    <t>30 maj 1998 (24)</t>
  </si>
  <si>
    <t>20 lut 1992 (30)</t>
  </si>
  <si>
    <t>17 lip 2019</t>
  </si>
  <si>
    <t>15 cze 1992 (30)</t>
  </si>
  <si>
    <t>20 sie 2020</t>
  </si>
  <si>
    <t>14 sty 1998 (24)</t>
  </si>
  <si>
    <t>IFK Mariehamn</t>
  </si>
  <si>
    <t>11 maj 1984 (38)</t>
  </si>
  <si>
    <t>15 sie 2019</t>
  </si>
  <si>
    <t>16 mar 2002 (20)</t>
  </si>
  <si>
    <t>Kotwica Kołobrzeg</t>
  </si>
  <si>
    <t>Lazio Rom Primavera</t>
  </si>
  <si>
    <t>29 sie 2004 (17)</t>
  </si>
  <si>
    <t>Warta Międzychód</t>
  </si>
  <si>
    <t>19 lis 2021</t>
  </si>
  <si>
    <t>21 paź 1994 (27)</t>
  </si>
  <si>
    <t>1 maj 2001 (21)</t>
  </si>
  <si>
    <t>11 sty 2021</t>
  </si>
  <si>
    <t>Nielba Wągrowiec</t>
  </si>
  <si>
    <t>15 lip 1993 (28)</t>
  </si>
  <si>
    <t>29 lip 2016</t>
  </si>
  <si>
    <t>4 paź 2001 (20)</t>
  </si>
  <si>
    <t>27 lip 2022</t>
  </si>
  <si>
    <t>20 sty 2022</t>
  </si>
  <si>
    <t>8 lut 1998 (24)</t>
  </si>
  <si>
    <t>5 sie 2020</t>
  </si>
  <si>
    <t>4 kwi 1999 (23)</t>
  </si>
  <si>
    <t>Almere City FC</t>
  </si>
  <si>
    <t>8 wrz 1992 (29)</t>
  </si>
  <si>
    <t>7 sty 2019</t>
  </si>
  <si>
    <t>Bytovia Bytów</t>
  </si>
  <si>
    <t>26 cze 1999 (23)</t>
  </si>
  <si>
    <t>Cartusia Kartuzy</t>
  </si>
  <si>
    <t>29 maj 2002 (20)</t>
  </si>
  <si>
    <t>Warta Poznań Akademia Piłkarska</t>
  </si>
  <si>
    <t>17 lip 1994 (27)</t>
  </si>
  <si>
    <t>30 cze 1996 (26)</t>
  </si>
  <si>
    <t>FC Rapid 1923</t>
  </si>
  <si>
    <t>Amiens SC</t>
  </si>
  <si>
    <t>3 mar 1997 (25)</t>
  </si>
  <si>
    <t>SD Compostela</t>
  </si>
  <si>
    <t>15 wrz 2020</t>
  </si>
  <si>
    <t>Recreativo Granada</t>
  </si>
  <si>
    <t>8 lip 2000 (21)</t>
  </si>
  <si>
    <t>Unia Swarzędz</t>
  </si>
  <si>
    <t>Wissa Szczuczyn</t>
  </si>
  <si>
    <t>5 maj 1994 (28)</t>
  </si>
  <si>
    <t>11 lut 2021</t>
  </si>
  <si>
    <t>26 cze 1991 (31)</t>
  </si>
  <si>
    <t>11 mar 2002 (20)</t>
  </si>
  <si>
    <t>22 lip 2021</t>
  </si>
  <si>
    <t>Xavier Dziekonski</t>
  </si>
  <si>
    <t>18 cze 2020</t>
  </si>
  <si>
    <t>Jagiellonia Białystok II</t>
  </si>
  <si>
    <t>21 wrz 1985 (36)</t>
  </si>
  <si>
    <t>RFS</t>
  </si>
  <si>
    <t>Jakub Jasionek</t>
  </si>
  <si>
    <t>2 lip 2004 (17)</t>
  </si>
  <si>
    <t>5 lis 2020</t>
  </si>
  <si>
    <t>Jagiellonia Białystok U19</t>
  </si>
  <si>
    <t>Slawomir Abramowicz</t>
  </si>
  <si>
    <t>9 cze 2004 (18)</t>
  </si>
  <si>
    <t>Polonia Warszawa</t>
  </si>
  <si>
    <t>Blazej Niezgoda</t>
  </si>
  <si>
    <t>23 sty 2000 (22)</t>
  </si>
  <si>
    <t>21 wrz 2017</t>
  </si>
  <si>
    <t>15 mar 1994 (28)</t>
  </si>
  <si>
    <t>3 lut 2020</t>
  </si>
  <si>
    <t>15 cze 1993 (29)</t>
  </si>
  <si>
    <t>26 kwi 2004 (18)</t>
  </si>
  <si>
    <t>21 wrz 1987 (34)</t>
  </si>
  <si>
    <t>3 lip 2021</t>
  </si>
  <si>
    <t>9 paź 1990 (31)</t>
  </si>
  <si>
    <t>Bartosz Kwiecien</t>
  </si>
  <si>
    <t>7 maj 1994 (28)</t>
  </si>
  <si>
    <t>27 lip 2017</t>
  </si>
  <si>
    <t>6 kwi 2001 (21)</t>
  </si>
  <si>
    <t>Milosz Skowronek</t>
  </si>
  <si>
    <t>20 mar 2005 (17)</t>
  </si>
  <si>
    <t>26 sty 1988 (34)</t>
  </si>
  <si>
    <t>WKS Wierzbice</t>
  </si>
  <si>
    <t>Jan Majsterek</t>
  </si>
  <si>
    <t>9 cze 2000 (22)</t>
  </si>
  <si>
    <t>6 lip 1994 (27)</t>
  </si>
  <si>
    <t>BATE Borysów</t>
  </si>
  <si>
    <t>25 wrz 2000 (21)</t>
  </si>
  <si>
    <t>22 sty 2020</t>
  </si>
  <si>
    <t>Godfrey Bitok Stephen</t>
  </si>
  <si>
    <t>Volga Uljanovsk</t>
  </si>
  <si>
    <t>Isloch Minsk Region</t>
  </si>
  <si>
    <t>Kacper Tabis</t>
  </si>
  <si>
    <t>31 sty 2000 (22)</t>
  </si>
  <si>
    <t>Pawel Olszewski</t>
  </si>
  <si>
    <t>7 cze 1999 (23)</t>
  </si>
  <si>
    <t>Szymon Pankiewicz</t>
  </si>
  <si>
    <t>9 lut 2001 (21)</t>
  </si>
  <si>
    <t>14 lis 1991 (30)</t>
  </si>
  <si>
    <t>22 lip 2014</t>
  </si>
  <si>
    <t>SK Sigma Ołomuniec</t>
  </si>
  <si>
    <t>FK Jablonec</t>
  </si>
  <si>
    <t>26 paź 2003 (18)</t>
  </si>
  <si>
    <t>5 kwi 2005 (17)</t>
  </si>
  <si>
    <t>18 sty 2001 (21)</t>
  </si>
  <si>
    <t>24 mar 1995 (27)</t>
  </si>
  <si>
    <t>Sakaryaspor</t>
  </si>
  <si>
    <t>30 wrz 2021</t>
  </si>
  <si>
    <t>Bartosz Bayer</t>
  </si>
  <si>
    <t>31 lip 2001 (20)</t>
  </si>
  <si>
    <t>Olimpia Zambrów</t>
  </si>
  <si>
    <t>26 wrz 1990 (31)</t>
  </si>
  <si>
    <t>21 sty 2019</t>
  </si>
  <si>
    <t>21 maj 1991 (31)</t>
  </si>
  <si>
    <t>AEL Limassol</t>
  </si>
  <si>
    <t>17 wrz 2020</t>
  </si>
  <si>
    <t>25 kwi 1998 (24)</t>
  </si>
  <si>
    <t>Iraklis Saloniki</t>
  </si>
  <si>
    <t>13 lut 2014</t>
  </si>
  <si>
    <t>Krzysztof Toporkiewicz</t>
  </si>
  <si>
    <t>21 kwi 2002 (20)</t>
  </si>
  <si>
    <t>29 lis 2019</t>
  </si>
  <si>
    <t>Dani Quintana</t>
  </si>
  <si>
    <t>8 mar 1987 (35)</t>
  </si>
  <si>
    <t>UD Tamaraceite</t>
  </si>
  <si>
    <t>22 lis 1997 (24)</t>
  </si>
  <si>
    <t>6 lut 1998 (24)</t>
  </si>
  <si>
    <t>Sumqayit PFK</t>
  </si>
  <si>
    <t>Kolos Kovalivka</t>
  </si>
  <si>
    <t>4 lip 1992 (29)</t>
  </si>
  <si>
    <t>FK Mlada Boleslav</t>
  </si>
  <si>
    <t>Narek Grigoryan</t>
  </si>
  <si>
    <t>17 cze 2001 (21)</t>
  </si>
  <si>
    <t>FC Urartu Erewan</t>
  </si>
  <si>
    <t>Michal Surzyn</t>
  </si>
  <si>
    <t>3 lis 2003 (18)</t>
  </si>
  <si>
    <t>Eryk Matus</t>
  </si>
  <si>
    <t>Jan Faberski</t>
  </si>
  <si>
    <t>22 kwi 2006 (16)</t>
  </si>
  <si>
    <t>Ajax Amsterdam U17</t>
  </si>
  <si>
    <t>Radoslaw Zysk</t>
  </si>
  <si>
    <t>Cofnięty napastnik</t>
  </si>
  <si>
    <t>16 lip 2003 (18)</t>
  </si>
  <si>
    <t>21 lut 2001 (21)</t>
  </si>
  <si>
    <t>2 sie 2017</t>
  </si>
  <si>
    <t>SK Dnipro-1</t>
  </si>
  <si>
    <t>13 mar 1996 (26)</t>
  </si>
  <si>
    <t>Jakub Lutostanski</t>
  </si>
  <si>
    <t>17 wrz 2004 (17)</t>
  </si>
  <si>
    <t>19 gru 2020</t>
  </si>
  <si>
    <t>25 lut 2022</t>
  </si>
  <si>
    <t>13 mar 2001 (21)</t>
  </si>
  <si>
    <t>18 sie 2018</t>
  </si>
  <si>
    <t>Mateusz Kowalski</t>
  </si>
  <si>
    <t>21 lip 2005 (16)</t>
  </si>
  <si>
    <t>Parma Primavera</t>
  </si>
  <si>
    <t>18 maj 2022</t>
  </si>
  <si>
    <t>Michal Samborski</t>
  </si>
  <si>
    <t>20 sty 2004 (18)</t>
  </si>
  <si>
    <t>11 wrz 2002 (19)</t>
  </si>
  <si>
    <t>Zagłębie Lubin U19</t>
  </si>
  <si>
    <t>Dominik Hladun</t>
  </si>
  <si>
    <t>17 wrz 1995 (26)</t>
  </si>
  <si>
    <t>13 lip 2013</t>
  </si>
  <si>
    <t>Jasmin Buric</t>
  </si>
  <si>
    <t>18 lut 1987 (35)</t>
  </si>
  <si>
    <t>3 sty 2022</t>
  </si>
  <si>
    <t>Alexander Steffen</t>
  </si>
  <si>
    <t>6 kwi 2004 (18)</t>
  </si>
  <si>
    <t>22 lis 2021</t>
  </si>
  <si>
    <t>Szymon Weirauch</t>
  </si>
  <si>
    <t>2 sty 1992 (30)</t>
  </si>
  <si>
    <t>Coritiba FC</t>
  </si>
  <si>
    <t>Brescia Calcio</t>
  </si>
  <si>
    <t>15 lip 1996 (25)</t>
  </si>
  <si>
    <t>Ascoli Calcio</t>
  </si>
  <si>
    <t>UC Sampdoria</t>
  </si>
  <si>
    <t>11 sty 2022</t>
  </si>
  <si>
    <t>13 mar 2000 (22)</t>
  </si>
  <si>
    <t>19 cze 2020</t>
  </si>
  <si>
    <t>FK Riteriai</t>
  </si>
  <si>
    <t>Aleksandar Pantic</t>
  </si>
  <si>
    <t>11 kwi 1992 (30)</t>
  </si>
  <si>
    <t>CD Lugo</t>
  </si>
  <si>
    <t>23 wrz 2021</t>
  </si>
  <si>
    <t>Sasa Balic</t>
  </si>
  <si>
    <t>29 sty 1990 (32)</t>
  </si>
  <si>
    <t>22 sty 1997 (25)</t>
  </si>
  <si>
    <t>4 kwi 2017</t>
  </si>
  <si>
    <t>Kacper Lepczynski</t>
  </si>
  <si>
    <t>18 lip 2001 (20)</t>
  </si>
  <si>
    <t>Kamil Sobczak</t>
  </si>
  <si>
    <t>1 sty 2003 (19)</t>
  </si>
  <si>
    <t>12 sty 1998 (24)</t>
  </si>
  <si>
    <t>Bartlomiej Kludka</t>
  </si>
  <si>
    <t>14 maj 2002 (20)</t>
  </si>
  <si>
    <t>RC Lens</t>
  </si>
  <si>
    <t>20 lip 2018</t>
  </si>
  <si>
    <t>Aleksandar Scekic</t>
  </si>
  <si>
    <t>12 gru 1991 (30)</t>
  </si>
  <si>
    <t>Hapoel Haifa</t>
  </si>
  <si>
    <t>22 sty 2022</t>
  </si>
  <si>
    <t>FK Partizan Belgrad</t>
  </si>
  <si>
    <t>6 lip 1991 (30)</t>
  </si>
  <si>
    <t>Vaasan Palloseura</t>
  </si>
  <si>
    <t>Rubin Kazań</t>
  </si>
  <si>
    <t>12 sty 2021</t>
  </si>
  <si>
    <t>21 mar 1992 (30)</t>
  </si>
  <si>
    <t>22 lip 2020</t>
  </si>
  <si>
    <t>23 lip 1998 (23)</t>
  </si>
  <si>
    <t>16 lis 2017</t>
  </si>
  <si>
    <t>Daniel Dudzinski</t>
  </si>
  <si>
    <t>7 mar 2002 (20)</t>
  </si>
  <si>
    <t>1 kwi 2019</t>
  </si>
  <si>
    <t>Filip Kocaba</t>
  </si>
  <si>
    <t>13 lis 2004 (17)</t>
  </si>
  <si>
    <t>Mateusz Kizyma</t>
  </si>
  <si>
    <t>8 lip 2002 (19)</t>
  </si>
  <si>
    <t>1 lut 1996 (26)</t>
  </si>
  <si>
    <t>FC Pari Nizhniy Novgorod</t>
  </si>
  <si>
    <t>27 maj 1991 (31)</t>
  </si>
  <si>
    <t>19 lip 2016</t>
  </si>
  <si>
    <t>KSC Lokeren (- 2020)</t>
  </si>
  <si>
    <t>26 lut 2001 (21)</t>
  </si>
  <si>
    <t>5 sty 2004 (18)</t>
  </si>
  <si>
    <t>12 cze 2002 (20)</t>
  </si>
  <si>
    <t>2 paź 2020</t>
  </si>
  <si>
    <t>Jakub Sypek</t>
  </si>
  <si>
    <t>7 kwi 2001 (21)</t>
  </si>
  <si>
    <t>3 lip 2020</t>
  </si>
  <si>
    <t>11 sty 2005 (17)</t>
  </si>
  <si>
    <t>2 kwi 1991 (31)</t>
  </si>
  <si>
    <t>28 mar 2003 (19)</t>
  </si>
  <si>
    <t>1 kwi 1998 (24)</t>
  </si>
  <si>
    <t>Basaksehir FK</t>
  </si>
  <si>
    <t>29 sie 2018</t>
  </si>
  <si>
    <t>24 maj 1999 (23)</t>
  </si>
  <si>
    <t>7 lut 2020</t>
  </si>
  <si>
    <t>4 lut 1992 (30)</t>
  </si>
  <si>
    <t>Slovan Bratislava</t>
  </si>
  <si>
    <t>12 sie 1996 (25)</t>
  </si>
  <si>
    <t>SK Dynamo Czeskie Budziejowice</t>
  </si>
  <si>
    <t>FC Banik Ostrava</t>
  </si>
  <si>
    <t>3 maj 1990 (32)</t>
  </si>
  <si>
    <t>23 lis 1993 (28)</t>
  </si>
  <si>
    <t>Wolfsberger AC</t>
  </si>
  <si>
    <t>6 lis 1997 (24)</t>
  </si>
  <si>
    <t>Jakub Wojcicki</t>
  </si>
  <si>
    <t>9 lip 1988 (33)</t>
  </si>
  <si>
    <t>Rafal Adamski</t>
  </si>
  <si>
    <t>21 lis 2001 (20)</t>
  </si>
  <si>
    <t>5 maj 2022</t>
  </si>
  <si>
    <t>Oliwier Slawinski</t>
  </si>
  <si>
    <t>15 kwi 2005 (17)</t>
  </si>
  <si>
    <t>Rafal Straczek</t>
  </si>
  <si>
    <t>Michal Gliwa</t>
  </si>
  <si>
    <t>Kamil Koscielny</t>
  </si>
  <si>
    <t>Lukasz Seweryn</t>
  </si>
  <si>
    <t>Michael Wyparlo</t>
  </si>
  <si>
    <t>Konrad Guca</t>
  </si>
  <si>
    <t>Mateusz Wyjadlowski</t>
  </si>
  <si>
    <t>Przemyslaw Maj</t>
  </si>
  <si>
    <t>Kacper Sadlocha</t>
  </si>
  <si>
    <t>Eryk Galara</t>
  </si>
  <si>
    <t>Wiktor Klos</t>
  </si>
  <si>
    <t>Kamil Duszkiewicz</t>
  </si>
  <si>
    <t>Maciej Jankowski</t>
  </si>
  <si>
    <t>12 lut 1999 (23)</t>
  </si>
  <si>
    <t>FC Girondins Bordeaux</t>
  </si>
  <si>
    <t>JKS 1909 Jarosław</t>
  </si>
  <si>
    <t>8 kwi 1988 (34)</t>
  </si>
  <si>
    <t>16 kwi 1992 (30)</t>
  </si>
  <si>
    <t>12 maj 2022</t>
  </si>
  <si>
    <t>29 mar 1997 (25)</t>
  </si>
  <si>
    <t>Orzeł Ryczów</t>
  </si>
  <si>
    <t>LKS Śledziejowice</t>
  </si>
  <si>
    <t>28 paź 1998 (23)</t>
  </si>
  <si>
    <t>10 lut 1994 (28)</t>
  </si>
  <si>
    <t>29 sie 2022</t>
  </si>
  <si>
    <t>23 sty 1991 (31)</t>
  </si>
  <si>
    <t>8 sie 1995 (26)</t>
  </si>
  <si>
    <t>20 paź 2020</t>
  </si>
  <si>
    <t>29 wrz 1994 (27)</t>
  </si>
  <si>
    <t>13 sty 1990 (32)</t>
  </si>
  <si>
    <t>17 sty 2021</t>
  </si>
  <si>
    <t>1 wrz 1989 (32)</t>
  </si>
  <si>
    <t>7 sty 2021</t>
  </si>
  <si>
    <t>Örebro SK</t>
  </si>
  <si>
    <t>29 mar 2002 (20)</t>
  </si>
  <si>
    <t>31 sty 2019</t>
  </si>
  <si>
    <t>25 wrz 2003 (18)</t>
  </si>
  <si>
    <t>Stany Zjednaczone</t>
  </si>
  <si>
    <t>New Mexico United</t>
  </si>
  <si>
    <t>Stal Mielec II</t>
  </si>
  <si>
    <t>30 lis 2023</t>
  </si>
  <si>
    <t>18 sie 2003 (18)</t>
  </si>
  <si>
    <t>21 wrz 2021</t>
  </si>
  <si>
    <t>1 gru 2002 (19)</t>
  </si>
  <si>
    <t>Crown Legacy FC</t>
  </si>
  <si>
    <t>3 lis 2021</t>
  </si>
  <si>
    <t>4 sty 2000 (22)</t>
  </si>
  <si>
    <t>Wisła Sandomierz</t>
  </si>
  <si>
    <t>6 kwi 2003 (19)</t>
  </si>
  <si>
    <t>29 sie 1988 (33)</t>
  </si>
  <si>
    <t>11 lip 2013</t>
  </si>
  <si>
    <t>Stal Stalowa Wola</t>
  </si>
  <si>
    <t>11 sty 1998 (24)</t>
  </si>
  <si>
    <t>4 gru 2000 (21)</t>
  </si>
  <si>
    <t>30 lip 2019</t>
  </si>
  <si>
    <t>7 lut 2023</t>
  </si>
  <si>
    <t>5 wrz 1990 (31)</t>
  </si>
  <si>
    <t>1,67m</t>
  </si>
  <si>
    <t>29 sty 2020</t>
  </si>
  <si>
    <t>20 sty 2020</t>
  </si>
  <si>
    <t>RC Lens U19</t>
  </si>
  <si>
    <t>6 lip 1990 (31)</t>
  </si>
  <si>
    <t>29 cze 2021</t>
  </si>
  <si>
    <t>23 gru 2000 (21)</t>
  </si>
  <si>
    <t>Czarni Połaniec</t>
  </si>
  <si>
    <t>8 lip 2021</t>
  </si>
  <si>
    <t>10 wrz 1993 (28)</t>
  </si>
  <si>
    <t>21 sty 2000 (22)</t>
  </si>
  <si>
    <t>4 maj 1995 (27)</t>
  </si>
  <si>
    <t>26 sie 2021</t>
  </si>
  <si>
    <t>Wellington Phoenix</t>
  </si>
  <si>
    <t>8 gru 1992 (29)</t>
  </si>
  <si>
    <t>CSKA 1948</t>
  </si>
  <si>
    <t>5 sty 2021</t>
  </si>
  <si>
    <t>Kaysar Kyzylorda</t>
  </si>
  <si>
    <t>23 lut 2022</t>
  </si>
  <si>
    <t>12 wrz 2000 (21)</t>
  </si>
  <si>
    <t>25 sie 2021</t>
  </si>
  <si>
    <t>5 mar 2002 (20)</t>
  </si>
  <si>
    <t>4 sty 1990 (32)</t>
  </si>
  <si>
    <t>8 sty 2021</t>
  </si>
  <si>
    <t>Michal Szromnik</t>
  </si>
  <si>
    <t>4 mar 1993 (29)</t>
  </si>
  <si>
    <t>Maksymilian Boruc</t>
  </si>
  <si>
    <t>15 lis 2002 (19)</t>
  </si>
  <si>
    <t>West Bromwich Albion U18</t>
  </si>
  <si>
    <t>1 lis 1984 (37)</t>
  </si>
  <si>
    <t>Jozef Burta</t>
  </si>
  <si>
    <t>20 wrz 1999 (22)</t>
  </si>
  <si>
    <t>Piast Żmigród</t>
  </si>
  <si>
    <t>12 sty 1992 (30)</t>
  </si>
  <si>
    <t>Puskás Akadémia FC</t>
  </si>
  <si>
    <t>NEC Nijmegen</t>
  </si>
  <si>
    <t>26 paź 1996 (25)</t>
  </si>
  <si>
    <t>Beitar Jerusalem</t>
  </si>
  <si>
    <t>Márk Tamás</t>
  </si>
  <si>
    <t>28 paź 1993 (28)</t>
  </si>
  <si>
    <t>13 lut 2020</t>
  </si>
  <si>
    <t>Diósgyőri VTK</t>
  </si>
  <si>
    <t>Daníel Leó Grétarsson</t>
  </si>
  <si>
    <t>2 paź 1995 (26)</t>
  </si>
  <si>
    <t>FC Blackpool</t>
  </si>
  <si>
    <t>12 lip 2017</t>
  </si>
  <si>
    <t>Śląsk Wrocław II</t>
  </si>
  <si>
    <t>27 mar 2001 (21)</t>
  </si>
  <si>
    <t>Bohemian Football Club</t>
  </si>
  <si>
    <t>Olivier Wypart</t>
  </si>
  <si>
    <t>16 sty 2001 (21)</t>
  </si>
  <si>
    <t>17 gru 2020</t>
  </si>
  <si>
    <t>3 paź 1990 (31)</t>
  </si>
  <si>
    <t>NK Olimpija Ljubljana</t>
  </si>
  <si>
    <t>13 sie 2002 (19)</t>
  </si>
  <si>
    <t>SPAL Primavera</t>
  </si>
  <si>
    <t>18 lut 1999 (23)</t>
  </si>
  <si>
    <t>18 mar 2003 (19)</t>
  </si>
  <si>
    <t>2 wrz 2004 (17)</t>
  </si>
  <si>
    <t>17 gru 2021</t>
  </si>
  <si>
    <t>Szymon Michalski</t>
  </si>
  <si>
    <t>8 mar 2004 (18)</t>
  </si>
  <si>
    <t>23 kwi 1994 (28)</t>
  </si>
  <si>
    <t>15 lut 2022</t>
  </si>
  <si>
    <t>Aarhus GF</t>
  </si>
  <si>
    <t>12 lis 1991 (30)</t>
  </si>
  <si>
    <t>5 sie 1996 (25)</t>
  </si>
  <si>
    <t>Javier Hyjek</t>
  </si>
  <si>
    <t>12 sty 2001 (21)</t>
  </si>
  <si>
    <t>Recreativo Huelva</t>
  </si>
  <si>
    <t>Bartosz Borun</t>
  </si>
  <si>
    <t>17 maj 2000 (22)</t>
  </si>
  <si>
    <t>GKS Jastrzębie</t>
  </si>
  <si>
    <t>23 maj 1987 (35)</t>
  </si>
  <si>
    <t>19 sty 2019</t>
  </si>
  <si>
    <t>Lukasz Bejger</t>
  </si>
  <si>
    <t>11 sty 2002 (20)</t>
  </si>
  <si>
    <t>23 sty 2021</t>
  </si>
  <si>
    <t>Manchester United U23</t>
  </si>
  <si>
    <t>25 sie 1997 (24)</t>
  </si>
  <si>
    <t>1 mar 1995 (27)</t>
  </si>
  <si>
    <t>AC Horsens</t>
  </si>
  <si>
    <t>Gandzasar Kapan</t>
  </si>
  <si>
    <t>31 maj 1994 (28)</t>
  </si>
  <si>
    <t>CD Castellón</t>
  </si>
  <si>
    <t>26 wrz 2000 (21)</t>
  </si>
  <si>
    <t>Cosenza Calcio</t>
  </si>
  <si>
    <t>13 lis 1992 (29)</t>
  </si>
  <si>
    <t>10 wrz 2020</t>
  </si>
  <si>
    <t>Gaziantep FK</t>
  </si>
  <si>
    <t>12 lis 1988 (33)</t>
  </si>
  <si>
    <t>12 sty 2017</t>
  </si>
  <si>
    <t>1.FC Kaiserslautern</t>
  </si>
  <si>
    <t>22 sie 1999 (22)</t>
  </si>
  <si>
    <t>8 lut 2017</t>
  </si>
  <si>
    <t>14 sty 2000 (22)</t>
  </si>
  <si>
    <t>8 wrz 2020</t>
  </si>
  <si>
    <t>Bayern Monachium II</t>
  </si>
  <si>
    <t>Piotr Samiec-Talar</t>
  </si>
  <si>
    <t>2 lis 2001 (20)</t>
  </si>
  <si>
    <t>Śląsk Wrocław U19</t>
  </si>
  <si>
    <t>Przemyslaw Bargiel</t>
  </si>
  <si>
    <t>26 mar 2000 (22)</t>
  </si>
  <si>
    <t>28 wrz 2006 (15)</t>
  </si>
  <si>
    <t>20 lut 2000 (22)</t>
  </si>
  <si>
    <t>25 sty 2022</t>
  </si>
  <si>
    <t>Hertha BSC</t>
  </si>
  <si>
    <t>19 maj 1987 (35)</t>
  </si>
  <si>
    <t>Las Palmas Atlético</t>
  </si>
  <si>
    <t>20 gru 1993 (28)</t>
  </si>
  <si>
    <t>Cádiz CF</t>
  </si>
  <si>
    <t>20 gru 1999 (22)</t>
  </si>
  <si>
    <t>23 lis 2017</t>
  </si>
  <si>
    <t>1 sty 1998 (24)</t>
  </si>
  <si>
    <t>Rukh Brest (- 2022)</t>
  </si>
  <si>
    <t>26 sty 1996 (26)</t>
  </si>
  <si>
    <t>Lukasz Budzilek</t>
  </si>
  <si>
    <t>Dominik Kakolewski</t>
  </si>
  <si>
    <t>4 cze 1996 (26)</t>
  </si>
  <si>
    <t>Znicz Biała Piska</t>
  </si>
  <si>
    <t>Podlasie Biała Podlaska</t>
  </si>
  <si>
    <t>Krystian Bartoszek</t>
  </si>
  <si>
    <t>28 maj 2002 (20)</t>
  </si>
  <si>
    <t>30 sty 2019</t>
  </si>
  <si>
    <t>BKS Lublin Młodzież</t>
  </si>
  <si>
    <t>2 mar 1997 (25)</t>
  </si>
  <si>
    <t>FK Spartak Subotica</t>
  </si>
  <si>
    <t>31 lip 1997 (24)</t>
  </si>
  <si>
    <t>21 maj 1997 (25)</t>
  </si>
  <si>
    <t>Manisa FK</t>
  </si>
  <si>
    <t>FC Luzern</t>
  </si>
  <si>
    <t>4 lut 2016</t>
  </si>
  <si>
    <t>Metalist Charków (- 2016)</t>
  </si>
  <si>
    <t>10 kwi 1998 (24)</t>
  </si>
  <si>
    <t>3 sty 1993 (29)</t>
  </si>
  <si>
    <t>FK Teplice</t>
  </si>
  <si>
    <t>20 gru 1988 (33)</t>
  </si>
  <si>
    <t>21 maj 2000 (22)</t>
  </si>
  <si>
    <t>28 sie 2020</t>
  </si>
  <si>
    <t>30 mar 1996 (26)</t>
  </si>
  <si>
    <t>11 paź 2000 (21)</t>
  </si>
  <si>
    <t>28 wrz 1992 (29)</t>
  </si>
  <si>
    <t>12 sie 1995 (26)</t>
  </si>
  <si>
    <t>1 kwi 2022</t>
  </si>
  <si>
    <t>Desna Czernigów</t>
  </si>
  <si>
    <t>3 cze 1989 (33)</t>
  </si>
  <si>
    <t>10 paź 2018</t>
  </si>
  <si>
    <t>10 lis 1994 (27)</t>
  </si>
  <si>
    <t>Michal Bezpalec</t>
  </si>
  <si>
    <t>19 sie 1996 (25)</t>
  </si>
  <si>
    <t>Podhale Nowy Targ</t>
  </si>
  <si>
    <t>FK Dukla Praga</t>
  </si>
  <si>
    <t>24 maj 1998 (24)</t>
  </si>
  <si>
    <t>26 sty 2022</t>
  </si>
  <si>
    <t>13 lut 1995 (27)</t>
  </si>
  <si>
    <t>Pawel Zyra</t>
  </si>
  <si>
    <t>7 kwi 1998 (24)</t>
  </si>
  <si>
    <t>31 paź 2000 (21)</t>
  </si>
  <si>
    <t>15 sie 2020</t>
  </si>
  <si>
    <t>Arka Gdynia II</t>
  </si>
  <si>
    <t>Vlastimir Jovanovic</t>
  </si>
  <si>
    <t>3 kwi 1985 (37)</t>
  </si>
  <si>
    <t>15 lis 1993 (28)</t>
  </si>
  <si>
    <t>4 lut 2022</t>
  </si>
  <si>
    <t>Eyüpspor</t>
  </si>
  <si>
    <t>Michal Orzechowski</t>
  </si>
  <si>
    <t>22 maj 2001 (21)</t>
  </si>
  <si>
    <t>Polonia-Stal Świdnica</t>
  </si>
  <si>
    <t>Lechia Dzierzoniow</t>
  </si>
  <si>
    <t>Tomasz Matuszewski</t>
  </si>
  <si>
    <t>26 lis 2001 (20)</t>
  </si>
  <si>
    <t>16 lip 2018</t>
  </si>
  <si>
    <t>Bruk-Bet Termalica Nieciecza U19</t>
  </si>
  <si>
    <t>FK Zeleziarne Podbrezova</t>
  </si>
  <si>
    <t>Marcel Vasil</t>
  </si>
  <si>
    <t>23 sie 1994 (27)</t>
  </si>
  <si>
    <t>28 mar 1989 (33)</t>
  </si>
  <si>
    <t>FK Robstav Prestice</t>
  </si>
  <si>
    <t>FC Slovan Liberec</t>
  </si>
  <si>
    <t>14 wrz 2001 (20)</t>
  </si>
  <si>
    <t>16 lis 1991 (30)</t>
  </si>
  <si>
    <t>Artem Polyarus</t>
  </si>
  <si>
    <t>Akhmat Grozny</t>
  </si>
  <si>
    <t>23 sty 1990 (32)</t>
  </si>
  <si>
    <t>Al-Ittihad Kalba SC</t>
  </si>
  <si>
    <t>Daniel Pietraszkiewicz</t>
  </si>
  <si>
    <t>Jakub Janczy</t>
  </si>
  <si>
    <t>Bruk-Bet Termalica Nieciecza II</t>
  </si>
  <si>
    <t>Sandecja Nowy Sącz II</t>
  </si>
  <si>
    <t>30 maj 2000 (22)</t>
  </si>
  <si>
    <t>19 sie 2020</t>
  </si>
  <si>
    <t>27 wrz 1988 (33)</t>
  </si>
  <si>
    <t>FC Fastav Zlin</t>
  </si>
  <si>
    <t>29 gru 2002 (19)</t>
  </si>
  <si>
    <t>FC Ballkani</t>
  </si>
  <si>
    <t>22 lut 1988 (34)</t>
  </si>
  <si>
    <t>31 sie 2016</t>
  </si>
  <si>
    <t>19 maj 1998 (24)</t>
  </si>
  <si>
    <t>Mateusz Lis</t>
  </si>
  <si>
    <t>27 lut 1997 (25)</t>
  </si>
  <si>
    <t>ESTAC Troyes</t>
  </si>
  <si>
    <t>Mikolaj Bieganski</t>
  </si>
  <si>
    <t>5 kwi 2002 (20)</t>
  </si>
  <si>
    <t>Pawel Kieszek</t>
  </si>
  <si>
    <t>16 kwi 1984 (38)</t>
  </si>
  <si>
    <t>UD Leiria</t>
  </si>
  <si>
    <t>5 sie 2021</t>
  </si>
  <si>
    <t>Rió Ave FC</t>
  </si>
  <si>
    <t>Kacper Rosa</t>
  </si>
  <si>
    <t>13 sie 1994 (27)</t>
  </si>
  <si>
    <t>13 kwi 1999 (23)</t>
  </si>
  <si>
    <t>18 sty 2022</t>
  </si>
  <si>
    <t>Chievo Verona</t>
  </si>
  <si>
    <t>19 lut 1994 (28)</t>
  </si>
  <si>
    <t>27 lut 1990 (32)</t>
  </si>
  <si>
    <t>4 mar 1999 (23)</t>
  </si>
  <si>
    <t>1 sie 2019</t>
  </si>
  <si>
    <t>Adi Mehremic</t>
  </si>
  <si>
    <t>26 kwi 1992 (30)</t>
  </si>
  <si>
    <t>29 cze 1989 (33)</t>
  </si>
  <si>
    <t>Pawel Koncewicz-Zylka</t>
  </si>
  <si>
    <t>29 paź 2003 (18)</t>
  </si>
  <si>
    <t>Wisła Kraków U19</t>
  </si>
  <si>
    <t>Kacper Skrobanski</t>
  </si>
  <si>
    <t>22 lip 2004 (17)</t>
  </si>
  <si>
    <t>2 cze 1993 (29)</t>
  </si>
  <si>
    <t>AC Sparta Praga</t>
  </si>
  <si>
    <t>18 kwi 1995 (27)</t>
  </si>
  <si>
    <t>Kalmar FF</t>
  </si>
  <si>
    <t>Krystian Wachowiak</t>
  </si>
  <si>
    <t>19 paź 2001 (20)</t>
  </si>
  <si>
    <t>3 lut 2021</t>
  </si>
  <si>
    <t>27 sty 2001 (21)</t>
  </si>
  <si>
    <t>18 sie 2020</t>
  </si>
  <si>
    <t>29 kwi 2001 (21)</t>
  </si>
  <si>
    <t>6 lut 2019</t>
  </si>
  <si>
    <t>24 maj 1996 (26)</t>
  </si>
  <si>
    <t>Al-Taawon</t>
  </si>
  <si>
    <t>27 lut 2022</t>
  </si>
  <si>
    <t>27 mar 2000 (22)</t>
  </si>
  <si>
    <t>11 lip 2017</t>
  </si>
  <si>
    <t>19 lis 1994 (27)</t>
  </si>
  <si>
    <t>Cangzhou Mighty Lions</t>
  </si>
  <si>
    <t>Kairat Almaty</t>
  </si>
  <si>
    <t>6 kwi 1997 (25)</t>
  </si>
  <si>
    <t>FK TSC Backa Topola</t>
  </si>
  <si>
    <t>Dorian Gadek</t>
  </si>
  <si>
    <t>2 sty 2004 (18)</t>
  </si>
  <si>
    <t>29 paź 2021</t>
  </si>
  <si>
    <t>9 sty 1994 (28)</t>
  </si>
  <si>
    <t>19 sie 1992 (29)</t>
  </si>
  <si>
    <t>APO Levadiakos</t>
  </si>
  <si>
    <t>23 wrz 1993 (28)</t>
  </si>
  <si>
    <t>Khor Fakkan</t>
  </si>
  <si>
    <t>10 lip 1995 (26)</t>
  </si>
  <si>
    <t>Ihud Bnei Sakhnin</t>
  </si>
  <si>
    <t>SKN St. Pölten</t>
  </si>
  <si>
    <t>2 sty 2001 (21)</t>
  </si>
  <si>
    <t>Piotr Starzynski</t>
  </si>
  <si>
    <t>22 sty 2004 (18)</t>
  </si>
  <si>
    <t>28 mar 1997 (25)</t>
  </si>
  <si>
    <t>Columbus Crew</t>
  </si>
  <si>
    <t>CD Numancia</t>
  </si>
  <si>
    <t>18 lis 2000 (21)</t>
  </si>
  <si>
    <t>6 kwi 2022</t>
  </si>
  <si>
    <t>VfB Stuttgart</t>
  </si>
  <si>
    <t>Momo Cissé</t>
  </si>
  <si>
    <t>17 paź 2002 (19)</t>
  </si>
  <si>
    <t>16 sty 2022</t>
  </si>
  <si>
    <t>Jakub Blaszczykowski</t>
  </si>
  <si>
    <t>14 gru 1985 (36)</t>
  </si>
  <si>
    <t>7 lut 2019</t>
  </si>
  <si>
    <t>13 sie 1993 (28)</t>
  </si>
  <si>
    <t>FC Groningen</t>
  </si>
  <si>
    <t>28 sie 1991 (30)</t>
  </si>
  <si>
    <t>Qingdao Hainiu</t>
  </si>
  <si>
    <t>1 wrz 1993 (28)</t>
  </si>
  <si>
    <t>1.FC Slovacko</t>
  </si>
  <si>
    <t>22 gru 1988 (33)</t>
  </si>
  <si>
    <t>Tromsø IL</t>
  </si>
  <si>
    <t>Hubert Sobol</t>
  </si>
  <si>
    <t>25 cze 2000 (22)</t>
  </si>
  <si>
    <t>Marcin Barton</t>
  </si>
  <si>
    <t>5 lut 2004 (18)</t>
  </si>
  <si>
    <t>Marcel Obroslak</t>
  </si>
  <si>
    <t>25 lut 2003 (19)</t>
  </si>
  <si>
    <t>Orlęta Radzyń Podlaski</t>
  </si>
  <si>
    <t>Górnik Łęczna II</t>
  </si>
  <si>
    <t>27 sie 1998 (23)</t>
  </si>
  <si>
    <t>20 lut 2019</t>
  </si>
  <si>
    <t>Concordia Elbląg</t>
  </si>
  <si>
    <t>Jakub Nowaczek</t>
  </si>
  <si>
    <t>KP Starogard Gdanski</t>
  </si>
  <si>
    <t>Tomasz Wozniak</t>
  </si>
  <si>
    <t>7 sty 2002 (20)</t>
  </si>
  <si>
    <t>3 gru 2021</t>
  </si>
  <si>
    <t>Kryspin Szczesniak</t>
  </si>
  <si>
    <t>8 sty 2001 (21)</t>
  </si>
  <si>
    <t>7 sty 1992 (30)</t>
  </si>
  <si>
    <t>17 lut 2022</t>
  </si>
  <si>
    <t>Pawel Baranowski</t>
  </si>
  <si>
    <t>11 paź 1990 (31)</t>
  </si>
  <si>
    <t>28 sty 1998 (24)</t>
  </si>
  <si>
    <t>9 lip 2018</t>
  </si>
  <si>
    <t>29 gru 1983 (38)</t>
  </si>
  <si>
    <t>5 cze 1985 (37)</t>
  </si>
  <si>
    <t>Avia Świdnik</t>
  </si>
  <si>
    <t>5 wrz 2018</t>
  </si>
  <si>
    <t>7 sty 1994 (28)</t>
  </si>
  <si>
    <t>16 sty 2020</t>
  </si>
  <si>
    <t>Rubén Lobato</t>
  </si>
  <si>
    <t>9 mar 1994 (28)</t>
  </si>
  <si>
    <t>CD Alcoyano</t>
  </si>
  <si>
    <t>13 lis 1989 (32)</t>
  </si>
  <si>
    <t>Michal Krol</t>
  </si>
  <si>
    <t>14 mar 2000 (22)</t>
  </si>
  <si>
    <t>11 lip 1993 (28)</t>
  </si>
  <si>
    <t>6 sie 2021</t>
  </si>
  <si>
    <t>11 lis 1985 (36)</t>
  </si>
  <si>
    <t>9 lip 2021</t>
  </si>
  <si>
    <t>Bartlomiej Kalinkowski</t>
  </si>
  <si>
    <t>11 lip 1994 (27)</t>
  </si>
  <si>
    <t>28 sty 2020</t>
  </si>
  <si>
    <t>6 lut 1995 (27)</t>
  </si>
  <si>
    <t>Hebar Pazardzhik</t>
  </si>
  <si>
    <t>10 wrz 2021</t>
  </si>
  <si>
    <t>Tomasz Tymosiak</t>
  </si>
  <si>
    <t>Adrian Cierpka</t>
  </si>
  <si>
    <t>6 sty 1995 (27)</t>
  </si>
  <si>
    <t>Concordia Chiajna</t>
  </si>
  <si>
    <t>Lukasz Szramowski</t>
  </si>
  <si>
    <t>1 kwi 2002 (20)</t>
  </si>
  <si>
    <t>Michal Golinski</t>
  </si>
  <si>
    <t>5 mar 2000 (22)</t>
  </si>
  <si>
    <t>24 lis 1996 (25)</t>
  </si>
  <si>
    <t>9 sie 2021</t>
  </si>
  <si>
    <t>25 sty 2005 (17)</t>
  </si>
  <si>
    <t>Górnik Łęczna U19</t>
  </si>
  <si>
    <t>10 lut 2021</t>
  </si>
  <si>
    <t>22 wrz 1996 (25)</t>
  </si>
  <si>
    <t>Aleksander Jagiello</t>
  </si>
  <si>
    <t>15 sty 2021</t>
  </si>
  <si>
    <t>17 wrz 1998 (23)</t>
  </si>
  <si>
    <t>9 wrz 2021</t>
  </si>
  <si>
    <t>19 sie 1991 (30)</t>
  </si>
  <si>
    <t>10 maj 1997 (25)</t>
  </si>
  <si>
    <t>Pakhtakor Tashkent</t>
  </si>
  <si>
    <t>14 sie 2020</t>
  </si>
  <si>
    <t>Pawel Wojciechowski</t>
  </si>
  <si>
    <t>24 kwi 1990 (32)</t>
  </si>
  <si>
    <t>17 lip 2018</t>
  </si>
  <si>
    <t>Michal Szalachowski</t>
  </si>
  <si>
    <t>23 lip 2004 (17)</t>
  </si>
  <si>
    <t>Mateusz Golba</t>
  </si>
  <si>
    <t>29 mar 2003 (19)</t>
  </si>
  <si>
    <t>W kadrze</t>
  </si>
  <si>
    <t>PNM</t>
  </si>
  <si>
    <t>0,75</t>
  </si>
  <si>
    <t>0,80</t>
  </si>
  <si>
    <t>1,40</t>
  </si>
  <si>
    <t>1,36</t>
  </si>
  <si>
    <t>1,50</t>
  </si>
  <si>
    <t>1,33</t>
  </si>
  <si>
    <t>1,32</t>
  </si>
  <si>
    <t>0,58</t>
  </si>
  <si>
    <t>0,43</t>
  </si>
  <si>
    <t>1,79</t>
  </si>
  <si>
    <t>1,21</t>
  </si>
  <si>
    <t>1,60</t>
  </si>
  <si>
    <t>0,00</t>
  </si>
  <si>
    <t>1,25</t>
  </si>
  <si>
    <t>1,93</t>
  </si>
  <si>
    <t>1,16</t>
  </si>
  <si>
    <t>0,45</t>
  </si>
  <si>
    <t>3,00</t>
  </si>
  <si>
    <t>1,86</t>
  </si>
  <si>
    <t>2,21</t>
  </si>
  <si>
    <t>0,82</t>
  </si>
  <si>
    <t>1,12</t>
  </si>
  <si>
    <t>1,00</t>
  </si>
  <si>
    <t>0,86</t>
  </si>
  <si>
    <t>1,04</t>
  </si>
  <si>
    <t>0,60</t>
  </si>
  <si>
    <t>2,06</t>
  </si>
  <si>
    <t>1,39</t>
  </si>
  <si>
    <t>1,15</t>
  </si>
  <si>
    <t>Żółte kartki</t>
  </si>
  <si>
    <t>Czerwone kartki</t>
  </si>
  <si>
    <t>Żółte i czerwone kartki</t>
  </si>
  <si>
    <t>Zawodnicy wchodzący</t>
  </si>
  <si>
    <t>Zawodnicy schodzący</t>
  </si>
  <si>
    <t>Minuty</t>
  </si>
  <si>
    <t>2,00</t>
  </si>
  <si>
    <t>2,50</t>
  </si>
  <si>
    <t>2,67</t>
  </si>
  <si>
    <t>2,11</t>
  </si>
  <si>
    <t>2,31</t>
  </si>
  <si>
    <t>2,20</t>
  </si>
  <si>
    <t>2,10</t>
  </si>
  <si>
    <t>2,04</t>
  </si>
  <si>
    <t>2,18</t>
  </si>
  <si>
    <t>2,40</t>
  </si>
  <si>
    <t>2,13</t>
  </si>
  <si>
    <t>2,28</t>
  </si>
  <si>
    <t>2,19</t>
  </si>
  <si>
    <t>2,17</t>
  </si>
  <si>
    <t>2,12</t>
  </si>
  <si>
    <t>2,16</t>
  </si>
  <si>
    <t>2,14</t>
  </si>
  <si>
    <t>2,25</t>
  </si>
  <si>
    <t>2,43</t>
  </si>
  <si>
    <t>1,90</t>
  </si>
  <si>
    <t>2,33</t>
  </si>
  <si>
    <t>2,03</t>
  </si>
  <si>
    <t>0,67</t>
  </si>
  <si>
    <t>2,08</t>
  </si>
  <si>
    <t>2,09</t>
  </si>
  <si>
    <t>2,56</t>
  </si>
  <si>
    <t>1,97</t>
  </si>
  <si>
    <t>2,63</t>
  </si>
  <si>
    <t>1,75</t>
  </si>
  <si>
    <t>1,88</t>
  </si>
  <si>
    <t>1,76</t>
  </si>
  <si>
    <t>1,84</t>
  </si>
  <si>
    <t>1,78</t>
  </si>
  <si>
    <t>2,29</t>
  </si>
  <si>
    <t>1,91</t>
  </si>
  <si>
    <t>1,83</t>
  </si>
  <si>
    <t>2,15</t>
  </si>
  <si>
    <t>2,05</t>
  </si>
  <si>
    <t>1,85</t>
  </si>
  <si>
    <t>1,89</t>
  </si>
  <si>
    <t>1,67</t>
  </si>
  <si>
    <t>1,41</t>
  </si>
  <si>
    <t>1,69</t>
  </si>
  <si>
    <t>1,57</t>
  </si>
  <si>
    <t>1,61</t>
  </si>
  <si>
    <t>1,73</t>
  </si>
  <si>
    <t>1,64</t>
  </si>
  <si>
    <t>1,71</t>
  </si>
  <si>
    <t>1,59</t>
  </si>
  <si>
    <t>1,58</t>
  </si>
  <si>
    <t>1,66</t>
  </si>
  <si>
    <t>1,62</t>
  </si>
  <si>
    <t>1,42</t>
  </si>
  <si>
    <t>1,70</t>
  </si>
  <si>
    <t>0,33</t>
  </si>
  <si>
    <t>1,68</t>
  </si>
  <si>
    <t>1,52</t>
  </si>
  <si>
    <t>0,69</t>
  </si>
  <si>
    <t>1,65</t>
  </si>
  <si>
    <t>1,55</t>
  </si>
  <si>
    <t>1,54</t>
  </si>
  <si>
    <t>1,63</t>
  </si>
  <si>
    <t>0,88</t>
  </si>
  <si>
    <t>1,29</t>
  </si>
  <si>
    <t>1,19</t>
  </si>
  <si>
    <t>1,11</t>
  </si>
  <si>
    <t>1,45</t>
  </si>
  <si>
    <t>1,31</t>
  </si>
  <si>
    <t>1,92</t>
  </si>
  <si>
    <t>1,38</t>
  </si>
  <si>
    <t>1,44</t>
  </si>
  <si>
    <t>1,24</t>
  </si>
  <si>
    <t>1,22</t>
  </si>
  <si>
    <t>1,53</t>
  </si>
  <si>
    <t>1,18</t>
  </si>
  <si>
    <t>1,30</t>
  </si>
  <si>
    <t>1,27</t>
  </si>
  <si>
    <t>0,78</t>
  </si>
  <si>
    <t>1,20</t>
  </si>
  <si>
    <t>1,35</t>
  </si>
  <si>
    <t>0,40</t>
  </si>
  <si>
    <t>1,47</t>
  </si>
  <si>
    <t>1,43</t>
  </si>
  <si>
    <t>1,28</t>
  </si>
  <si>
    <t>1,56</t>
  </si>
  <si>
    <t>1,10</t>
  </si>
  <si>
    <t>1,07</t>
  </si>
  <si>
    <t>1,34</t>
  </si>
  <si>
    <t>0,92</t>
  </si>
  <si>
    <t>1,37</t>
  </si>
  <si>
    <t>1,48</t>
  </si>
  <si>
    <t>0,50</t>
  </si>
  <si>
    <t>1,08</t>
  </si>
  <si>
    <t>1,26</t>
  </si>
  <si>
    <t>0,25</t>
  </si>
  <si>
    <t>0,94</t>
  </si>
  <si>
    <t>1,77</t>
  </si>
  <si>
    <t>0,81</t>
  </si>
  <si>
    <t>1,13</t>
  </si>
  <si>
    <t>1,05</t>
  </si>
  <si>
    <t>1,14</t>
  </si>
  <si>
    <t>0,57</t>
  </si>
  <si>
    <t>0,77</t>
  </si>
  <si>
    <t>0,95</t>
  </si>
  <si>
    <t>1,80</t>
  </si>
  <si>
    <t>0,87</t>
  </si>
  <si>
    <t>0,71</t>
  </si>
  <si>
    <t>0,85</t>
  </si>
  <si>
    <t>0,56</t>
  </si>
  <si>
    <t>1,03</t>
  </si>
  <si>
    <t>0,91</t>
  </si>
  <si>
    <t>1,06</t>
  </si>
  <si>
    <t>0,54</t>
  </si>
  <si>
    <t>1,09</t>
  </si>
  <si>
    <t>0,53</t>
  </si>
  <si>
    <t>0,55</t>
  </si>
  <si>
    <t>0,83</t>
  </si>
  <si>
    <t>0,63</t>
  </si>
  <si>
    <t>0,97</t>
  </si>
  <si>
    <t>0,73</t>
  </si>
  <si>
    <t>0,89</t>
  </si>
  <si>
    <t>0,96</t>
  </si>
  <si>
    <t>1,46</t>
  </si>
  <si>
    <t>0,29</t>
  </si>
  <si>
    <t>0,93</t>
  </si>
  <si>
    <t>0,74</t>
  </si>
  <si>
    <t>0,17</t>
  </si>
  <si>
    <t>0,90</t>
  </si>
  <si>
    <t>0,84</t>
  </si>
  <si>
    <t>0,76</t>
  </si>
  <si>
    <t>0,20</t>
  </si>
  <si>
    <t>0,41</t>
  </si>
  <si>
    <t>0,42</t>
  </si>
  <si>
    <t>0,79</t>
  </si>
  <si>
    <t>Obcokrajowiec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</si>
</sst>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[$€-407]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2" fontId="0" fillId="0" borderId="0" xfId="0" applyNumberFormat="1"/>
    <xf numFmtId="15" fontId="0" fillId="0" borderId="1" xfId="0" applyNumberFormat="1" applyBorder="1"/>
    <xf numFmtId="1" fontId="0" fillId="0" borderId="0" xfId="0" applyNumberFormat="1"/>
    <xf numFmtId="164" fontId="0" fillId="0" borderId="1" xfId="0" applyNumberFormat="1" applyBorder="1"/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</cellXfs>
  <cellStyles count="1">
    <cellStyle name="Normal" xfId="0" builtinId="0"/>
  </cellStyles>
  <dxfs count="19">
    <dxf>
      <numFmt numFmtId="0" formatCode="General"/>
    </dxf>
    <dxf>
      <numFmt numFmtId="1" formatCode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\ [$€-407]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FC6E1A-6E8A-4568-AB3F-17C346BAFEF6}" name="Table2" displayName="Table2" ref="A1:M722" totalsRowShown="0" headerRowDxfId="18" dataDxfId="17" tableBorderDxfId="16">
  <autoFilter ref="A1:M722" xr:uid="{04FC6E1A-6E8A-4568-AB3F-17C346BAFEF6}"/>
  <sortState xmlns:xlrd2="http://schemas.microsoft.com/office/spreadsheetml/2017/richdata2" ref="A2:M722">
    <sortCondition ref="A1:A722"/>
  </sortState>
  <tableColumns count="13">
    <tableColumn id="1" xr3:uid="{6FF6BF79-3C8E-4CD9-B172-BF99D0978745}" name="Zawodnik" dataDxfId="15"/>
    <tableColumn id="2" xr3:uid="{919C2663-A33D-49F7-82D6-1812E5146DEF}" name="Pozycja" dataDxfId="14"/>
    <tableColumn id="3" xr3:uid="{32A3388C-7233-4620-A7FC-5CF33FE26669}" name="Data ur. / wiek" dataDxfId="13"/>
    <tableColumn id="4" xr3:uid="{4854F1F1-215C-4BF3-8369-DA91C4B0FBC7}" name="Narodowość" dataDxfId="12"/>
    <tableColumn id="5" xr3:uid="{DD56099F-01D2-4076-AA69-ACFFF76F50B5}" name="Druga narodowość" dataDxfId="11"/>
    <tableColumn id="6" xr3:uid="{6DE210B6-40F1-4D8D-A11F-1F5025C9C74E}" name="Obecny klub" dataDxfId="10"/>
    <tableColumn id="7" xr3:uid="{128FD4B2-44CB-41E4-90F2-61C9270410A0}" name="Wzrost" dataDxfId="9"/>
    <tableColumn id="8" xr3:uid="{09602338-CE04-401C-B3DC-94663285CFFD}" name="Noga" dataDxfId="8"/>
    <tableColumn id="9" xr3:uid="{55BC0274-5F2E-4747-BBA7-5ED79F3D9F76}" name="W drużynie od" dataDxfId="7"/>
    <tableColumn id="10" xr3:uid="{324E8DA6-4901-4271-A218-BF68029486BB}" name="Wcześniej" dataDxfId="6"/>
    <tableColumn id="11" xr3:uid="{2BA0CF74-EE4C-4619-858E-380FA79685EC}" name="Kontrakt" dataDxfId="5"/>
    <tableColumn id="12" xr3:uid="{C62B9F20-181A-4106-866F-84B26B75D772}" name="Wartość rynkowa" dataDxfId="4"/>
    <tableColumn id="13" xr3:uid="{406399C9-6427-4FA3-BC29-F4AF4040AB0D}" name="Klub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6519CA-5964-4611-B196-6D0B4955DACE}" name="Table3" displayName="Table3" ref="A1:R722" totalsRowShown="0">
  <autoFilter ref="A1:R722" xr:uid="{BA6519CA-5964-4611-B196-6D0B4955DACE}"/>
  <sortState xmlns:xlrd2="http://schemas.microsoft.com/office/spreadsheetml/2017/richdata2" ref="A2:R722">
    <sortCondition ref="A1:A722"/>
  </sortState>
  <tableColumns count="18">
    <tableColumn id="2" xr3:uid="{4DE6F5CD-9DCD-41A4-8C65-3BB3B9CF96BD}" name="Zawodnik"/>
    <tableColumn id="3" xr3:uid="{C55802A2-1DB7-432E-9530-AD9E3D605ADA}" name="Pozycja"/>
    <tableColumn id="4" xr3:uid="{374790A3-AD5D-4CE0-A0EA-05D2541E9771}" name="Wiek"/>
    <tableColumn id="5" xr3:uid="{2099A004-1DBE-4838-A9B7-E6144F994B2A}" name="Narodowość"/>
    <tableColumn id="6" xr3:uid="{04817C5E-A705-4B30-8327-991D80DA2261}" name="Druga narodowość"/>
    <tableColumn id="7" xr3:uid="{BA007D1E-470B-4204-9E9C-CB3A8DDEF670}" name="W kadrze"/>
    <tableColumn id="8" xr3:uid="{17ABE82B-DD29-4482-A34A-9D4513C2E0D6}" name="Występy"/>
    <tableColumn id="9" xr3:uid="{7458892D-9356-4C48-82B2-342521E29ADB}" name="Bramki"/>
    <tableColumn id="10" xr3:uid="{C3889B72-9E2C-442A-902B-1C1FE8B846FF}" name="Asysty"/>
    <tableColumn id="11" xr3:uid="{DA101B4E-5A09-4AF1-A7D4-85B05A8AD0CD}" name="Żółte kartki"/>
    <tableColumn id="12" xr3:uid="{26606D03-7C09-4E8A-A4E1-3F4D8F693865}" name="Żółte i czerwone kartki"/>
    <tableColumn id="13" xr3:uid="{CC9BA8BF-2B48-4CBD-8C41-2777B3971C6E}" name="Czerwone kartki"/>
    <tableColumn id="14" xr3:uid="{1F0577EC-B0E4-4F8C-A8C9-E3824CAD464B}" name="Zawodnicy wchodzący"/>
    <tableColumn id="15" xr3:uid="{CF2BDE6C-28C4-45EE-8C77-BB389477D813}" name="Zawodnicy schodzący"/>
    <tableColumn id="16" xr3:uid="{68A4A2DF-EA5E-41BC-B458-6F40555F2BA9}" name="PNM" dataDxfId="2"/>
    <tableColumn id="17" xr3:uid="{B70B009A-2CF0-487A-BE6C-C0FB28347981}" name="Minuty" dataDxfId="1"/>
    <tableColumn id="18" xr3:uid="{10D02DF3-99C9-4942-8357-4623C3BE23ED}" name="Klub"/>
    <tableColumn id="19" xr3:uid="{44364B69-5EBA-440A-87F5-22FC253ED193}" name="Obcokrajowiec" dataDxfId="0">
      <calculatedColumnFormula>IF(Table3[[#This Row],[Narodowość]]&lt;&gt;"Polska","Tak","Nie")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499B-BB15-4E0C-ACED-9471C11276F0}">
  <sheetPr codeName="Sheet4"/>
  <dimension ref="A1:O722"/>
  <sheetViews>
    <sheetView workbookViewId="0">
      <selection activeCell="D1" sqref="D1:D1048576"/>
    </sheetView>
  </sheetViews>
  <sheetFormatPr defaultRowHeight="15" x14ac:dyDescent="0.25"/>
  <cols>
    <col min="1" max="1" width="20.28515625" customWidth="1"/>
    <col min="2" max="2" width="25.140625" customWidth="1"/>
    <col min="3" max="3" width="16" customWidth="1"/>
    <col min="4" max="5" width="21.5703125" customWidth="1"/>
    <col min="6" max="6" width="21.7109375" customWidth="1"/>
    <col min="7" max="7" width="11.7109375" customWidth="1"/>
    <col min="8" max="8" width="14.140625" customWidth="1"/>
    <col min="9" max="9" width="18.5703125" customWidth="1"/>
    <col min="10" max="10" width="19.140625" customWidth="1"/>
    <col min="11" max="11" width="15.140625" customWidth="1"/>
    <col min="12" max="12" width="29.7109375" style="6" customWidth="1"/>
    <col min="13" max="13" width="19.5703125" customWidth="1"/>
    <col min="15" max="15" width="13.42578125" customWidth="1"/>
  </cols>
  <sheetData>
    <row r="1" spans="1:15" x14ac:dyDescent="0.25">
      <c r="A1" s="7" t="s">
        <v>320</v>
      </c>
      <c r="B1" s="7" t="s">
        <v>542</v>
      </c>
      <c r="C1" s="7" t="s">
        <v>559</v>
      </c>
      <c r="D1" s="7" t="s">
        <v>322</v>
      </c>
      <c r="E1" s="7" t="s">
        <v>541</v>
      </c>
      <c r="F1" s="7" t="s">
        <v>560</v>
      </c>
      <c r="G1" s="7" t="s">
        <v>561</v>
      </c>
      <c r="H1" s="7" t="s">
        <v>562</v>
      </c>
      <c r="I1" s="7" t="s">
        <v>563</v>
      </c>
      <c r="J1" s="7" t="s">
        <v>564</v>
      </c>
      <c r="K1" s="7" t="s">
        <v>565</v>
      </c>
      <c r="L1" s="8" t="s">
        <v>566</v>
      </c>
      <c r="M1" s="7" t="s">
        <v>321</v>
      </c>
    </row>
    <row r="2" spans="1:15" x14ac:dyDescent="0.25">
      <c r="A2" s="1" t="s">
        <v>186</v>
      </c>
      <c r="B2" s="1" t="s">
        <v>326</v>
      </c>
      <c r="C2" s="1" t="s">
        <v>1351</v>
      </c>
      <c r="D2" s="1" t="s">
        <v>549</v>
      </c>
      <c r="E2" s="1" t="s">
        <v>16</v>
      </c>
      <c r="F2" s="1" t="s">
        <v>999</v>
      </c>
      <c r="G2" s="1" t="s">
        <v>702</v>
      </c>
      <c r="H2" s="1" t="s">
        <v>586</v>
      </c>
      <c r="I2" s="1" t="s">
        <v>1352</v>
      </c>
      <c r="J2" s="1" t="s">
        <v>1353</v>
      </c>
      <c r="K2" s="1" t="s">
        <v>573</v>
      </c>
      <c r="L2" s="5">
        <v>1200000</v>
      </c>
      <c r="M2" s="1" t="s">
        <v>315</v>
      </c>
      <c r="O2" s="2"/>
    </row>
    <row r="3" spans="1:15" x14ac:dyDescent="0.25">
      <c r="A3" s="1" t="s">
        <v>270</v>
      </c>
      <c r="B3" s="1" t="s">
        <v>382</v>
      </c>
      <c r="C3" s="1" t="s">
        <v>1246</v>
      </c>
      <c r="D3" s="1" t="s">
        <v>337</v>
      </c>
      <c r="E3" s="1" t="s">
        <v>16</v>
      </c>
      <c r="F3" s="1" t="s">
        <v>339</v>
      </c>
      <c r="G3" s="1" t="s">
        <v>675</v>
      </c>
      <c r="H3" s="1" t="s">
        <v>586</v>
      </c>
      <c r="I3" s="1" t="s">
        <v>606</v>
      </c>
      <c r="J3" s="1" t="s">
        <v>1245</v>
      </c>
      <c r="K3" s="1" t="s">
        <v>578</v>
      </c>
      <c r="L3" s="5">
        <v>150000</v>
      </c>
      <c r="M3" s="1" t="s">
        <v>339</v>
      </c>
    </row>
    <row r="4" spans="1:15" x14ac:dyDescent="0.25">
      <c r="A4" s="1" t="s">
        <v>518</v>
      </c>
      <c r="B4" s="1" t="s">
        <v>357</v>
      </c>
      <c r="C4" s="1" t="s">
        <v>2058</v>
      </c>
      <c r="D4" s="1" t="s">
        <v>362</v>
      </c>
      <c r="E4" s="1" t="s">
        <v>16</v>
      </c>
      <c r="F4" s="1" t="s">
        <v>1566</v>
      </c>
      <c r="G4" s="1" t="s">
        <v>609</v>
      </c>
      <c r="H4" s="1" t="s">
        <v>586</v>
      </c>
      <c r="I4" s="1" t="s">
        <v>1684</v>
      </c>
      <c r="J4" s="1" t="s">
        <v>855</v>
      </c>
      <c r="K4" s="1" t="s">
        <v>16</v>
      </c>
      <c r="L4" s="5">
        <v>200000</v>
      </c>
      <c r="M4" s="1" t="s">
        <v>316</v>
      </c>
    </row>
    <row r="5" spans="1:15" x14ac:dyDescent="0.25">
      <c r="A5" s="1" t="s">
        <v>409</v>
      </c>
      <c r="B5" s="1" t="s">
        <v>357</v>
      </c>
      <c r="C5" s="1" t="s">
        <v>2055</v>
      </c>
      <c r="D5" s="1" t="s">
        <v>337</v>
      </c>
      <c r="E5" s="1" t="s">
        <v>16</v>
      </c>
      <c r="F5" s="1" t="s">
        <v>316</v>
      </c>
      <c r="G5" s="1" t="s">
        <v>812</v>
      </c>
      <c r="H5" s="1" t="s">
        <v>16</v>
      </c>
      <c r="I5" s="1" t="s">
        <v>1369</v>
      </c>
      <c r="J5" s="1" t="s">
        <v>1130</v>
      </c>
      <c r="K5" s="1" t="s">
        <v>573</v>
      </c>
      <c r="L5" s="5">
        <v>350000</v>
      </c>
      <c r="M5" s="1" t="s">
        <v>316</v>
      </c>
    </row>
    <row r="6" spans="1:15" x14ac:dyDescent="0.25">
      <c r="A6" s="1" t="s">
        <v>296</v>
      </c>
      <c r="B6" s="1" t="s">
        <v>324</v>
      </c>
      <c r="C6" s="1" t="s">
        <v>1836</v>
      </c>
      <c r="D6" s="1" t="s">
        <v>337</v>
      </c>
      <c r="E6" s="1" t="s">
        <v>16</v>
      </c>
      <c r="F6" s="1" t="s">
        <v>319</v>
      </c>
      <c r="G6" s="1" t="s">
        <v>769</v>
      </c>
      <c r="H6" s="1" t="s">
        <v>570</v>
      </c>
      <c r="I6" s="1" t="s">
        <v>1837</v>
      </c>
      <c r="J6" s="1" t="s">
        <v>853</v>
      </c>
      <c r="K6" s="1" t="s">
        <v>573</v>
      </c>
      <c r="L6" s="5">
        <v>250000</v>
      </c>
      <c r="M6" s="1" t="s">
        <v>340</v>
      </c>
    </row>
    <row r="7" spans="1:15" x14ac:dyDescent="0.25">
      <c r="A7" s="1" t="s">
        <v>25</v>
      </c>
      <c r="B7" s="1" t="s">
        <v>0</v>
      </c>
      <c r="C7" s="1" t="s">
        <v>1508</v>
      </c>
      <c r="D7" s="1" t="s">
        <v>337</v>
      </c>
      <c r="E7" s="1" t="s">
        <v>16</v>
      </c>
      <c r="F7" s="1" t="s">
        <v>1509</v>
      </c>
      <c r="G7" s="1" t="s">
        <v>1158</v>
      </c>
      <c r="H7" s="1" t="s">
        <v>570</v>
      </c>
      <c r="I7" s="1" t="s">
        <v>1510</v>
      </c>
      <c r="J7" s="1" t="s">
        <v>1302</v>
      </c>
      <c r="K7" s="1" t="s">
        <v>573</v>
      </c>
      <c r="L7" s="5">
        <v>50000</v>
      </c>
      <c r="M7" s="1" t="s">
        <v>23</v>
      </c>
    </row>
    <row r="8" spans="1:15" x14ac:dyDescent="0.25">
      <c r="A8" s="1" t="s">
        <v>254</v>
      </c>
      <c r="B8" s="1" t="s">
        <v>325</v>
      </c>
      <c r="C8" s="1" t="s">
        <v>1659</v>
      </c>
      <c r="D8" s="1" t="s">
        <v>350</v>
      </c>
      <c r="E8" s="1" t="s">
        <v>16</v>
      </c>
      <c r="F8" s="1" t="s">
        <v>349</v>
      </c>
      <c r="G8" s="1" t="s">
        <v>660</v>
      </c>
      <c r="H8" s="1" t="s">
        <v>586</v>
      </c>
      <c r="I8" s="1" t="s">
        <v>1660</v>
      </c>
      <c r="J8" s="1" t="s">
        <v>858</v>
      </c>
      <c r="K8" s="1" t="s">
        <v>578</v>
      </c>
      <c r="L8" s="5">
        <v>600000</v>
      </c>
      <c r="M8" s="1" t="s">
        <v>349</v>
      </c>
    </row>
    <row r="9" spans="1:15" x14ac:dyDescent="0.25">
      <c r="A9" s="1" t="s">
        <v>2139</v>
      </c>
      <c r="B9" s="1" t="s">
        <v>382</v>
      </c>
      <c r="C9" s="1" t="s">
        <v>2140</v>
      </c>
      <c r="D9" s="1" t="s">
        <v>346</v>
      </c>
      <c r="E9" s="1" t="s">
        <v>16</v>
      </c>
      <c r="F9" s="1" t="s">
        <v>1540</v>
      </c>
      <c r="G9" s="1" t="s">
        <v>627</v>
      </c>
      <c r="H9" s="1" t="s">
        <v>586</v>
      </c>
      <c r="I9" s="1" t="s">
        <v>1638</v>
      </c>
      <c r="J9" s="1" t="s">
        <v>689</v>
      </c>
      <c r="K9" s="1" t="s">
        <v>588</v>
      </c>
      <c r="L9" s="5">
        <v>150000</v>
      </c>
      <c r="M9" s="1" t="s">
        <v>383</v>
      </c>
    </row>
    <row r="10" spans="1:15" x14ac:dyDescent="0.25">
      <c r="A10" s="1" t="s">
        <v>221</v>
      </c>
      <c r="B10" s="1" t="s">
        <v>331</v>
      </c>
      <c r="C10" s="1" t="s">
        <v>1979</v>
      </c>
      <c r="D10" s="1" t="s">
        <v>337</v>
      </c>
      <c r="E10" s="1" t="s">
        <v>16</v>
      </c>
      <c r="F10" s="1" t="s">
        <v>345</v>
      </c>
      <c r="G10" s="1" t="s">
        <v>633</v>
      </c>
      <c r="H10" s="1" t="s">
        <v>16</v>
      </c>
      <c r="I10" s="1" t="s">
        <v>780</v>
      </c>
      <c r="J10" s="1" t="s">
        <v>1282</v>
      </c>
      <c r="K10" s="1" t="s">
        <v>588</v>
      </c>
      <c r="L10" s="5">
        <v>25000</v>
      </c>
      <c r="M10" s="1" t="s">
        <v>345</v>
      </c>
    </row>
    <row r="11" spans="1:15" x14ac:dyDescent="0.25">
      <c r="A11" s="1" t="s">
        <v>2249</v>
      </c>
      <c r="B11" s="1" t="s">
        <v>330</v>
      </c>
      <c r="C11" s="1" t="s">
        <v>2250</v>
      </c>
      <c r="D11" s="1" t="s">
        <v>337</v>
      </c>
      <c r="E11" s="1" t="s">
        <v>16</v>
      </c>
      <c r="F11" s="1" t="s">
        <v>2251</v>
      </c>
      <c r="G11" s="1" t="s">
        <v>617</v>
      </c>
      <c r="H11" s="1" t="s">
        <v>570</v>
      </c>
      <c r="I11" s="1" t="s">
        <v>2244</v>
      </c>
      <c r="J11" s="1" t="s">
        <v>349</v>
      </c>
      <c r="K11" s="1" t="s">
        <v>573</v>
      </c>
      <c r="L11" s="5">
        <v>100000</v>
      </c>
      <c r="M11" s="1" t="s">
        <v>348</v>
      </c>
    </row>
    <row r="12" spans="1:15" x14ac:dyDescent="0.25">
      <c r="A12" s="1" t="s">
        <v>64</v>
      </c>
      <c r="B12" s="1" t="s">
        <v>331</v>
      </c>
      <c r="C12" s="1" t="s">
        <v>1409</v>
      </c>
      <c r="D12" s="1" t="s">
        <v>337</v>
      </c>
      <c r="E12" s="1" t="s">
        <v>16</v>
      </c>
      <c r="F12" s="1" t="s">
        <v>1378</v>
      </c>
      <c r="G12" s="1" t="s">
        <v>722</v>
      </c>
      <c r="H12" s="1" t="s">
        <v>16</v>
      </c>
      <c r="I12" s="1" t="s">
        <v>1381</v>
      </c>
      <c r="J12" s="1" t="s">
        <v>1378</v>
      </c>
      <c r="K12" s="1" t="s">
        <v>573</v>
      </c>
      <c r="L12" s="5">
        <v>150000</v>
      </c>
      <c r="M12" s="1" t="s">
        <v>317</v>
      </c>
    </row>
    <row r="13" spans="1:15" x14ac:dyDescent="0.25">
      <c r="A13" s="1" t="s">
        <v>60</v>
      </c>
      <c r="B13" s="1" t="s">
        <v>382</v>
      </c>
      <c r="C13" s="1" t="s">
        <v>1387</v>
      </c>
      <c r="D13" s="1" t="s">
        <v>337</v>
      </c>
      <c r="E13" s="1" t="s">
        <v>16</v>
      </c>
      <c r="F13" s="1" t="s">
        <v>332</v>
      </c>
      <c r="G13" s="1" t="s">
        <v>722</v>
      </c>
      <c r="H13" s="1" t="s">
        <v>586</v>
      </c>
      <c r="I13" s="1" t="s">
        <v>1388</v>
      </c>
      <c r="J13" s="1" t="s">
        <v>1389</v>
      </c>
      <c r="K13" s="1" t="s">
        <v>588</v>
      </c>
      <c r="L13" s="5">
        <v>1200000</v>
      </c>
      <c r="M13" s="1" t="s">
        <v>317</v>
      </c>
    </row>
    <row r="14" spans="1:15" x14ac:dyDescent="0.25">
      <c r="A14" s="1" t="s">
        <v>46</v>
      </c>
      <c r="B14" s="1" t="s">
        <v>0</v>
      </c>
      <c r="C14" s="1" t="s">
        <v>2210</v>
      </c>
      <c r="D14" s="1" t="s">
        <v>337</v>
      </c>
      <c r="E14" s="1" t="s">
        <v>16</v>
      </c>
      <c r="F14" s="1" t="s">
        <v>681</v>
      </c>
      <c r="G14" s="1" t="s">
        <v>580</v>
      </c>
      <c r="H14" s="1" t="s">
        <v>16</v>
      </c>
      <c r="I14" s="1" t="s">
        <v>2211</v>
      </c>
      <c r="J14" s="1" t="s">
        <v>2212</v>
      </c>
      <c r="K14" s="1" t="s">
        <v>615</v>
      </c>
      <c r="L14" s="5">
        <v>75000</v>
      </c>
      <c r="M14" s="1" t="s">
        <v>348</v>
      </c>
    </row>
    <row r="15" spans="1:15" x14ac:dyDescent="0.25">
      <c r="A15" s="1" t="s">
        <v>241</v>
      </c>
      <c r="B15" s="1" t="s">
        <v>0</v>
      </c>
      <c r="C15" s="1" t="s">
        <v>1591</v>
      </c>
      <c r="D15" s="1" t="s">
        <v>337</v>
      </c>
      <c r="E15" s="1" t="s">
        <v>16</v>
      </c>
      <c r="F15" s="1" t="s">
        <v>349</v>
      </c>
      <c r="G15" s="1" t="s">
        <v>575</v>
      </c>
      <c r="H15" s="1" t="s">
        <v>570</v>
      </c>
      <c r="I15" s="1" t="s">
        <v>913</v>
      </c>
      <c r="J15" s="1" t="s">
        <v>1592</v>
      </c>
      <c r="K15" s="1" t="s">
        <v>573</v>
      </c>
      <c r="L15" s="5">
        <v>250000</v>
      </c>
      <c r="M15" s="1" t="s">
        <v>349</v>
      </c>
    </row>
    <row r="16" spans="1:15" x14ac:dyDescent="0.25">
      <c r="A16" s="1" t="s">
        <v>389</v>
      </c>
      <c r="B16" s="1" t="s">
        <v>324</v>
      </c>
      <c r="C16" s="1" t="s">
        <v>2015</v>
      </c>
      <c r="D16" s="1" t="s">
        <v>337</v>
      </c>
      <c r="E16" s="1" t="s">
        <v>16</v>
      </c>
      <c r="F16" s="1" t="s">
        <v>345</v>
      </c>
      <c r="G16" s="1" t="s">
        <v>702</v>
      </c>
      <c r="H16" s="1" t="s">
        <v>570</v>
      </c>
      <c r="I16" s="1" t="s">
        <v>2016</v>
      </c>
      <c r="J16" s="1" t="s">
        <v>1968</v>
      </c>
      <c r="K16" s="1" t="s">
        <v>573</v>
      </c>
      <c r="L16" s="5">
        <v>300000</v>
      </c>
      <c r="M16" s="1" t="s">
        <v>345</v>
      </c>
    </row>
    <row r="17" spans="1:13" x14ac:dyDescent="0.25">
      <c r="A17" s="1" t="s">
        <v>218</v>
      </c>
      <c r="B17" s="1" t="s">
        <v>325</v>
      </c>
      <c r="C17" s="1" t="s">
        <v>1941</v>
      </c>
      <c r="D17" s="1" t="s">
        <v>337</v>
      </c>
      <c r="E17" s="1" t="s">
        <v>16</v>
      </c>
      <c r="F17" s="1" t="s">
        <v>339</v>
      </c>
      <c r="G17" s="1" t="s">
        <v>596</v>
      </c>
      <c r="H17" s="1" t="s">
        <v>605</v>
      </c>
      <c r="I17" s="1" t="s">
        <v>1942</v>
      </c>
      <c r="J17" s="1" t="s">
        <v>339</v>
      </c>
      <c r="K17" s="1" t="s">
        <v>615</v>
      </c>
      <c r="L17" s="5">
        <v>100000</v>
      </c>
      <c r="M17" s="1" t="s">
        <v>319</v>
      </c>
    </row>
    <row r="18" spans="1:13" x14ac:dyDescent="0.25">
      <c r="A18" s="1" t="s">
        <v>100</v>
      </c>
      <c r="B18" s="1" t="s">
        <v>328</v>
      </c>
      <c r="C18" s="1" t="s">
        <v>811</v>
      </c>
      <c r="D18" s="1" t="s">
        <v>419</v>
      </c>
      <c r="E18" s="1" t="s">
        <v>16</v>
      </c>
      <c r="F18" s="1" t="s">
        <v>334</v>
      </c>
      <c r="G18" s="1" t="s">
        <v>812</v>
      </c>
      <c r="H18" s="1" t="s">
        <v>586</v>
      </c>
      <c r="I18" s="1" t="s">
        <v>813</v>
      </c>
      <c r="J18" s="1" t="s">
        <v>855</v>
      </c>
      <c r="K18" s="1" t="s">
        <v>578</v>
      </c>
      <c r="L18" s="5">
        <v>1000000</v>
      </c>
      <c r="M18" s="1" t="s">
        <v>334</v>
      </c>
    </row>
    <row r="19" spans="1:13" x14ac:dyDescent="0.25">
      <c r="A19" s="1" t="s">
        <v>452</v>
      </c>
      <c r="B19" s="1" t="s">
        <v>376</v>
      </c>
      <c r="C19" s="1" t="s">
        <v>774</v>
      </c>
      <c r="D19" s="1" t="s">
        <v>337</v>
      </c>
      <c r="E19" s="1" t="s">
        <v>16</v>
      </c>
      <c r="F19" s="1" t="s">
        <v>334</v>
      </c>
      <c r="G19" s="1" t="s">
        <v>775</v>
      </c>
      <c r="H19" s="1" t="s">
        <v>570</v>
      </c>
      <c r="I19" s="1" t="s">
        <v>592</v>
      </c>
      <c r="J19" s="1" t="s">
        <v>340</v>
      </c>
      <c r="K19" s="1" t="s">
        <v>578</v>
      </c>
      <c r="L19" s="5">
        <v>400000</v>
      </c>
      <c r="M19" s="1" t="s">
        <v>334</v>
      </c>
    </row>
    <row r="20" spans="1:13" x14ac:dyDescent="0.25">
      <c r="A20" s="1" t="s">
        <v>263</v>
      </c>
      <c r="B20" s="1" t="s">
        <v>382</v>
      </c>
      <c r="C20" s="1" t="s">
        <v>2135</v>
      </c>
      <c r="D20" s="1" t="s">
        <v>337</v>
      </c>
      <c r="E20" s="1" t="s">
        <v>16</v>
      </c>
      <c r="F20" s="1" t="s">
        <v>383</v>
      </c>
      <c r="G20" s="1" t="s">
        <v>585</v>
      </c>
      <c r="H20" s="1" t="s">
        <v>570</v>
      </c>
      <c r="I20" s="1" t="s">
        <v>618</v>
      </c>
      <c r="J20" s="1" t="s">
        <v>339</v>
      </c>
      <c r="K20" s="1" t="s">
        <v>588</v>
      </c>
      <c r="L20" s="5">
        <v>250000</v>
      </c>
      <c r="M20" s="1" t="s">
        <v>383</v>
      </c>
    </row>
    <row r="21" spans="1:13" x14ac:dyDescent="0.25">
      <c r="A21" s="1" t="s">
        <v>66</v>
      </c>
      <c r="B21" s="1" t="s">
        <v>330</v>
      </c>
      <c r="C21" s="1" t="s">
        <v>1413</v>
      </c>
      <c r="D21" s="1" t="s">
        <v>405</v>
      </c>
      <c r="E21" s="1" t="s">
        <v>16</v>
      </c>
      <c r="F21" s="1" t="s">
        <v>1414</v>
      </c>
      <c r="G21" s="1" t="s">
        <v>769</v>
      </c>
      <c r="H21" s="1" t="s">
        <v>586</v>
      </c>
      <c r="I21" s="1" t="s">
        <v>1415</v>
      </c>
      <c r="J21" s="1" t="s">
        <v>1416</v>
      </c>
      <c r="K21" s="1" t="s">
        <v>578</v>
      </c>
      <c r="L21" s="5">
        <v>1200000</v>
      </c>
      <c r="M21" s="1" t="s">
        <v>317</v>
      </c>
    </row>
    <row r="22" spans="1:13" x14ac:dyDescent="0.25">
      <c r="A22" s="1" t="s">
        <v>1580</v>
      </c>
      <c r="B22" s="1" t="s">
        <v>382</v>
      </c>
      <c r="C22" s="1" t="s">
        <v>1608</v>
      </c>
      <c r="D22" s="1" t="s">
        <v>337</v>
      </c>
      <c r="E22" s="1" t="s">
        <v>16</v>
      </c>
      <c r="F22" s="1" t="s">
        <v>1592</v>
      </c>
      <c r="G22" s="1" t="s">
        <v>609</v>
      </c>
      <c r="H22" s="1" t="s">
        <v>16</v>
      </c>
      <c r="I22" s="1" t="s">
        <v>1609</v>
      </c>
      <c r="J22" s="1" t="s">
        <v>1594</v>
      </c>
      <c r="K22" s="1" t="s">
        <v>573</v>
      </c>
      <c r="L22" s="5">
        <v>25000</v>
      </c>
      <c r="M22" s="1" t="s">
        <v>349</v>
      </c>
    </row>
    <row r="23" spans="1:13" x14ac:dyDescent="0.25">
      <c r="A23" s="1" t="s">
        <v>154</v>
      </c>
      <c r="B23" s="1" t="s">
        <v>325</v>
      </c>
      <c r="C23" s="1" t="s">
        <v>1202</v>
      </c>
      <c r="D23" s="1" t="s">
        <v>333</v>
      </c>
      <c r="E23" s="1" t="s">
        <v>16</v>
      </c>
      <c r="F23" s="1" t="s">
        <v>1161</v>
      </c>
      <c r="G23" s="1" t="s">
        <v>609</v>
      </c>
      <c r="H23" s="1" t="s">
        <v>570</v>
      </c>
      <c r="I23" s="1" t="s">
        <v>618</v>
      </c>
      <c r="J23" s="1" t="s">
        <v>1161</v>
      </c>
      <c r="K23" s="1" t="s">
        <v>573</v>
      </c>
      <c r="L23" s="5">
        <v>550000</v>
      </c>
      <c r="M23" s="1" t="s">
        <v>344</v>
      </c>
    </row>
    <row r="24" spans="1:13" x14ac:dyDescent="0.25">
      <c r="A24" s="1" t="s">
        <v>208</v>
      </c>
      <c r="B24" s="1" t="s">
        <v>376</v>
      </c>
      <c r="C24" s="1" t="s">
        <v>1896</v>
      </c>
      <c r="D24" s="1" t="s">
        <v>436</v>
      </c>
      <c r="E24" s="1" t="s">
        <v>16</v>
      </c>
      <c r="F24" s="1" t="s">
        <v>1619</v>
      </c>
      <c r="G24" s="1" t="s">
        <v>646</v>
      </c>
      <c r="H24" s="1" t="s">
        <v>570</v>
      </c>
      <c r="I24" s="1" t="s">
        <v>1897</v>
      </c>
      <c r="J24" s="1" t="s">
        <v>1898</v>
      </c>
      <c r="K24" s="1" t="s">
        <v>658</v>
      </c>
      <c r="L24" s="5">
        <v>150000</v>
      </c>
      <c r="M24" s="1" t="s">
        <v>319</v>
      </c>
    </row>
    <row r="25" spans="1:13" x14ac:dyDescent="0.25">
      <c r="A25" s="1" t="s">
        <v>465</v>
      </c>
      <c r="B25" s="1" t="s">
        <v>382</v>
      </c>
      <c r="C25" s="1" t="s">
        <v>1597</v>
      </c>
      <c r="D25" s="1" t="s">
        <v>337</v>
      </c>
      <c r="E25" s="1" t="s">
        <v>16</v>
      </c>
      <c r="F25" s="1" t="s">
        <v>340</v>
      </c>
      <c r="G25" s="1" t="s">
        <v>627</v>
      </c>
      <c r="H25" s="1" t="s">
        <v>16</v>
      </c>
      <c r="I25" s="1" t="s">
        <v>1598</v>
      </c>
      <c r="J25" s="1" t="s">
        <v>1599</v>
      </c>
      <c r="K25" s="1" t="s">
        <v>578</v>
      </c>
      <c r="L25" s="5">
        <v>600000</v>
      </c>
      <c r="M25" s="1" t="s">
        <v>349</v>
      </c>
    </row>
    <row r="26" spans="1:13" x14ac:dyDescent="0.25">
      <c r="A26" s="1" t="s">
        <v>465</v>
      </c>
      <c r="B26" s="1" t="s">
        <v>382</v>
      </c>
      <c r="C26" s="1" t="s">
        <v>1597</v>
      </c>
      <c r="D26" s="1" t="s">
        <v>337</v>
      </c>
      <c r="E26" s="1" t="s">
        <v>16</v>
      </c>
      <c r="F26" s="1" t="s">
        <v>340</v>
      </c>
      <c r="G26" s="1" t="s">
        <v>627</v>
      </c>
      <c r="H26" s="1" t="s">
        <v>16</v>
      </c>
      <c r="I26" s="1" t="s">
        <v>657</v>
      </c>
      <c r="J26" s="1" t="s">
        <v>349</v>
      </c>
      <c r="K26" s="1" t="s">
        <v>578</v>
      </c>
      <c r="L26" s="5">
        <v>600000</v>
      </c>
      <c r="M26" s="1" t="s">
        <v>340</v>
      </c>
    </row>
    <row r="27" spans="1:13" x14ac:dyDescent="0.25">
      <c r="A27" s="1" t="s">
        <v>508</v>
      </c>
      <c r="B27" s="1" t="s">
        <v>325</v>
      </c>
      <c r="C27" s="1" t="s">
        <v>1936</v>
      </c>
      <c r="D27" s="1" t="s">
        <v>497</v>
      </c>
      <c r="E27" s="1" t="s">
        <v>368</v>
      </c>
      <c r="F27" s="1" t="s">
        <v>1937</v>
      </c>
      <c r="G27" s="1" t="s">
        <v>585</v>
      </c>
      <c r="H27" s="1" t="s">
        <v>586</v>
      </c>
      <c r="I27" s="1" t="s">
        <v>1938</v>
      </c>
      <c r="J27" s="1" t="s">
        <v>1939</v>
      </c>
      <c r="K27" s="1" t="s">
        <v>573</v>
      </c>
      <c r="L27" s="5">
        <v>300000</v>
      </c>
      <c r="M27" s="1" t="s">
        <v>319</v>
      </c>
    </row>
    <row r="28" spans="1:13" x14ac:dyDescent="0.25">
      <c r="A28" s="1" t="s">
        <v>1792</v>
      </c>
      <c r="B28" s="1" t="s">
        <v>382</v>
      </c>
      <c r="C28" s="1" t="s">
        <v>1793</v>
      </c>
      <c r="D28" s="1" t="s">
        <v>388</v>
      </c>
      <c r="E28" s="1" t="s">
        <v>16</v>
      </c>
      <c r="F28" s="1" t="s">
        <v>1794</v>
      </c>
      <c r="G28" s="1" t="s">
        <v>633</v>
      </c>
      <c r="H28" s="1" t="s">
        <v>570</v>
      </c>
      <c r="I28" s="1" t="s">
        <v>1795</v>
      </c>
      <c r="J28" s="1" t="s">
        <v>724</v>
      </c>
      <c r="K28" s="1" t="s">
        <v>573</v>
      </c>
      <c r="L28" s="5">
        <v>300000</v>
      </c>
      <c r="M28" s="1" t="s">
        <v>340</v>
      </c>
    </row>
    <row r="29" spans="1:13" x14ac:dyDescent="0.25">
      <c r="A29" s="1" t="s">
        <v>1809</v>
      </c>
      <c r="B29" s="1" t="s">
        <v>331</v>
      </c>
      <c r="C29" s="1" t="s">
        <v>1810</v>
      </c>
      <c r="D29" s="1" t="s">
        <v>490</v>
      </c>
      <c r="E29" s="1" t="s">
        <v>388</v>
      </c>
      <c r="F29" s="1" t="s">
        <v>1811</v>
      </c>
      <c r="G29" s="1" t="s">
        <v>591</v>
      </c>
      <c r="H29" s="1" t="s">
        <v>570</v>
      </c>
      <c r="I29" s="1" t="s">
        <v>1812</v>
      </c>
      <c r="J29" s="1" t="s">
        <v>1813</v>
      </c>
      <c r="K29" s="1" t="s">
        <v>615</v>
      </c>
      <c r="L29" s="5">
        <v>700000</v>
      </c>
      <c r="M29" s="1" t="s">
        <v>340</v>
      </c>
    </row>
    <row r="30" spans="1:13" x14ac:dyDescent="0.25">
      <c r="A30" s="1" t="s">
        <v>2262</v>
      </c>
      <c r="B30" s="1" t="s">
        <v>326</v>
      </c>
      <c r="C30" s="1" t="s">
        <v>652</v>
      </c>
      <c r="D30" s="1" t="s">
        <v>337</v>
      </c>
      <c r="E30" s="1" t="s">
        <v>16</v>
      </c>
      <c r="F30" s="1" t="s">
        <v>724</v>
      </c>
      <c r="G30" s="1" t="s">
        <v>812</v>
      </c>
      <c r="H30" s="1" t="s">
        <v>586</v>
      </c>
      <c r="I30" s="1" t="s">
        <v>2263</v>
      </c>
      <c r="J30" s="1" t="s">
        <v>344</v>
      </c>
      <c r="K30" s="1" t="s">
        <v>16</v>
      </c>
      <c r="L30" s="5">
        <v>25000</v>
      </c>
      <c r="M30" s="1" t="s">
        <v>348</v>
      </c>
    </row>
    <row r="31" spans="1:13" x14ac:dyDescent="0.25">
      <c r="A31" s="1" t="s">
        <v>278</v>
      </c>
      <c r="B31" s="1" t="s">
        <v>376</v>
      </c>
      <c r="C31" s="1" t="s">
        <v>1254</v>
      </c>
      <c r="D31" s="1" t="s">
        <v>337</v>
      </c>
      <c r="E31" s="1" t="s">
        <v>16</v>
      </c>
      <c r="F31" s="1" t="s">
        <v>339</v>
      </c>
      <c r="G31" s="1" t="s">
        <v>702</v>
      </c>
      <c r="H31" s="1" t="s">
        <v>16</v>
      </c>
      <c r="I31" s="1" t="s">
        <v>752</v>
      </c>
      <c r="J31" s="1" t="s">
        <v>1226</v>
      </c>
      <c r="K31" s="1" t="s">
        <v>578</v>
      </c>
      <c r="L31" s="5">
        <v>300000</v>
      </c>
      <c r="M31" s="1" t="s">
        <v>339</v>
      </c>
    </row>
    <row r="32" spans="1:13" x14ac:dyDescent="0.25">
      <c r="A32" s="1" t="s">
        <v>1578</v>
      </c>
      <c r="B32" s="1" t="s">
        <v>382</v>
      </c>
      <c r="C32" s="1" t="s">
        <v>1539</v>
      </c>
      <c r="D32" s="1" t="s">
        <v>548</v>
      </c>
      <c r="E32" s="1" t="s">
        <v>16</v>
      </c>
      <c r="F32" s="1" t="s">
        <v>1600</v>
      </c>
      <c r="G32" s="1" t="s">
        <v>633</v>
      </c>
      <c r="H32" s="1" t="s">
        <v>570</v>
      </c>
      <c r="I32" s="1" t="s">
        <v>1601</v>
      </c>
      <c r="J32" s="1" t="s">
        <v>1457</v>
      </c>
      <c r="K32" s="1" t="s">
        <v>573</v>
      </c>
      <c r="L32" s="5">
        <v>450000</v>
      </c>
      <c r="M32" s="1" t="s">
        <v>349</v>
      </c>
    </row>
    <row r="33" spans="1:13" x14ac:dyDescent="0.25">
      <c r="A33" s="1" t="s">
        <v>468</v>
      </c>
      <c r="B33" s="1" t="s">
        <v>330</v>
      </c>
      <c r="C33" s="1" t="s">
        <v>2245</v>
      </c>
      <c r="D33" s="1" t="s">
        <v>333</v>
      </c>
      <c r="E33" s="1" t="s">
        <v>16</v>
      </c>
      <c r="F33" s="1" t="s">
        <v>2246</v>
      </c>
      <c r="G33" s="1" t="s">
        <v>617</v>
      </c>
      <c r="H33" s="1" t="s">
        <v>586</v>
      </c>
      <c r="I33" s="1" t="s">
        <v>2247</v>
      </c>
      <c r="J33" s="1" t="s">
        <v>724</v>
      </c>
      <c r="K33" s="1" t="s">
        <v>16</v>
      </c>
      <c r="L33" s="5">
        <v>200000</v>
      </c>
      <c r="M33" s="1" t="s">
        <v>348</v>
      </c>
    </row>
    <row r="34" spans="1:13" x14ac:dyDescent="0.25">
      <c r="A34" s="1" t="s">
        <v>73</v>
      </c>
      <c r="B34" s="1" t="s">
        <v>325</v>
      </c>
      <c r="C34" s="1" t="s">
        <v>1453</v>
      </c>
      <c r="D34" s="1" t="s">
        <v>384</v>
      </c>
      <c r="E34" s="1" t="s">
        <v>337</v>
      </c>
      <c r="F34" s="1" t="s">
        <v>344</v>
      </c>
      <c r="G34" s="1" t="s">
        <v>609</v>
      </c>
      <c r="H34" s="1" t="s">
        <v>570</v>
      </c>
      <c r="I34" s="1" t="s">
        <v>1037</v>
      </c>
      <c r="J34" s="1" t="s">
        <v>1454</v>
      </c>
      <c r="K34" s="1" t="s">
        <v>573</v>
      </c>
      <c r="L34" s="5">
        <v>400000</v>
      </c>
      <c r="M34" s="1" t="s">
        <v>317</v>
      </c>
    </row>
    <row r="35" spans="1:13" x14ac:dyDescent="0.25">
      <c r="A35" s="1" t="s">
        <v>164</v>
      </c>
      <c r="B35" s="1" t="s">
        <v>328</v>
      </c>
      <c r="C35" s="1" t="s">
        <v>1036</v>
      </c>
      <c r="D35" s="1" t="s">
        <v>384</v>
      </c>
      <c r="E35" s="1" t="s">
        <v>16</v>
      </c>
      <c r="F35" s="1" t="s">
        <v>341</v>
      </c>
      <c r="G35" s="1" t="s">
        <v>722</v>
      </c>
      <c r="H35" s="1" t="s">
        <v>570</v>
      </c>
      <c r="I35" s="1" t="s">
        <v>1037</v>
      </c>
      <c r="J35" s="1" t="s">
        <v>1038</v>
      </c>
      <c r="K35" s="1" t="s">
        <v>573</v>
      </c>
      <c r="L35" s="5">
        <v>100000</v>
      </c>
      <c r="M35" s="1" t="s">
        <v>341</v>
      </c>
    </row>
    <row r="36" spans="1:13" x14ac:dyDescent="0.25">
      <c r="A36" s="1" t="s">
        <v>1778</v>
      </c>
      <c r="B36" s="1" t="s">
        <v>0</v>
      </c>
      <c r="C36" s="1" t="s">
        <v>1779</v>
      </c>
      <c r="D36" s="1" t="s">
        <v>337</v>
      </c>
      <c r="E36" s="1" t="s">
        <v>16</v>
      </c>
      <c r="F36" s="1" t="s">
        <v>1282</v>
      </c>
      <c r="G36" s="1" t="s">
        <v>633</v>
      </c>
      <c r="H36" s="1" t="s">
        <v>16</v>
      </c>
      <c r="I36" s="1" t="s">
        <v>1780</v>
      </c>
      <c r="J36" s="1" t="s">
        <v>1282</v>
      </c>
      <c r="K36" s="1" t="s">
        <v>16</v>
      </c>
      <c r="L36" s="5">
        <v>25000</v>
      </c>
      <c r="M36" s="1" t="s">
        <v>340</v>
      </c>
    </row>
    <row r="37" spans="1:13" x14ac:dyDescent="0.25">
      <c r="A37" s="1" t="s">
        <v>521</v>
      </c>
      <c r="B37" s="1" t="s">
        <v>325</v>
      </c>
      <c r="C37" s="1" t="s">
        <v>971</v>
      </c>
      <c r="D37" s="1" t="s">
        <v>336</v>
      </c>
      <c r="E37" s="1" t="s">
        <v>16</v>
      </c>
      <c r="F37" s="1" t="s">
        <v>972</v>
      </c>
      <c r="G37" s="1" t="s">
        <v>722</v>
      </c>
      <c r="H37" s="1" t="s">
        <v>570</v>
      </c>
      <c r="I37" s="1" t="s">
        <v>973</v>
      </c>
      <c r="J37" s="1" t="s">
        <v>974</v>
      </c>
      <c r="K37" s="1" t="s">
        <v>16</v>
      </c>
      <c r="L37" s="5">
        <v>400000</v>
      </c>
      <c r="M37" s="1" t="s">
        <v>332</v>
      </c>
    </row>
    <row r="38" spans="1:13" x14ac:dyDescent="0.25">
      <c r="A38" s="1" t="s">
        <v>143</v>
      </c>
      <c r="B38" s="1" t="s">
        <v>357</v>
      </c>
      <c r="C38" s="1" t="s">
        <v>1162</v>
      </c>
      <c r="D38" s="1" t="s">
        <v>394</v>
      </c>
      <c r="E38" s="1" t="s">
        <v>16</v>
      </c>
      <c r="F38" s="1" t="s">
        <v>344</v>
      </c>
      <c r="G38" s="1" t="s">
        <v>678</v>
      </c>
      <c r="H38" s="1" t="s">
        <v>586</v>
      </c>
      <c r="I38" s="1" t="s">
        <v>653</v>
      </c>
      <c r="J38" s="1" t="s">
        <v>1163</v>
      </c>
      <c r="K38" s="1" t="s">
        <v>615</v>
      </c>
      <c r="L38" s="5">
        <v>650000</v>
      </c>
      <c r="M38" s="1" t="s">
        <v>344</v>
      </c>
    </row>
    <row r="39" spans="1:13" x14ac:dyDescent="0.25">
      <c r="A39" s="1" t="s">
        <v>665</v>
      </c>
      <c r="B39" s="1" t="s">
        <v>330</v>
      </c>
      <c r="C39" s="1" t="s">
        <v>666</v>
      </c>
      <c r="D39" s="1" t="s">
        <v>336</v>
      </c>
      <c r="E39" s="1" t="s">
        <v>16</v>
      </c>
      <c r="F39" s="1" t="s">
        <v>667</v>
      </c>
      <c r="G39" s="1" t="s">
        <v>668</v>
      </c>
      <c r="H39" s="1" t="s">
        <v>570</v>
      </c>
      <c r="I39" s="1" t="s">
        <v>669</v>
      </c>
      <c r="J39" s="1" t="s">
        <v>670</v>
      </c>
      <c r="K39" s="1" t="s">
        <v>573</v>
      </c>
      <c r="L39" s="5">
        <v>400000</v>
      </c>
      <c r="M39" s="1" t="s">
        <v>318</v>
      </c>
    </row>
    <row r="40" spans="1:13" x14ac:dyDescent="0.25">
      <c r="A40" s="1" t="s">
        <v>524</v>
      </c>
      <c r="B40" s="1" t="s">
        <v>331</v>
      </c>
      <c r="C40" s="1" t="s">
        <v>2064</v>
      </c>
      <c r="D40" s="1" t="s">
        <v>430</v>
      </c>
      <c r="E40" s="1" t="s">
        <v>16</v>
      </c>
      <c r="F40" s="1" t="s">
        <v>316</v>
      </c>
      <c r="G40" s="1" t="s">
        <v>641</v>
      </c>
      <c r="H40" s="1" t="s">
        <v>570</v>
      </c>
      <c r="I40" s="1" t="s">
        <v>2065</v>
      </c>
      <c r="J40" s="1" t="s">
        <v>2066</v>
      </c>
      <c r="K40" s="1" t="s">
        <v>573</v>
      </c>
      <c r="L40" s="5">
        <v>500000</v>
      </c>
      <c r="M40" s="1" t="s">
        <v>316</v>
      </c>
    </row>
    <row r="41" spans="1:13" x14ac:dyDescent="0.25">
      <c r="A41" s="1" t="s">
        <v>189</v>
      </c>
      <c r="B41" s="1" t="s">
        <v>382</v>
      </c>
      <c r="C41" s="1" t="s">
        <v>911</v>
      </c>
      <c r="D41" s="1" t="s">
        <v>337</v>
      </c>
      <c r="E41" s="1" t="s">
        <v>16</v>
      </c>
      <c r="F41" s="1" t="s">
        <v>912</v>
      </c>
      <c r="G41" s="1" t="s">
        <v>609</v>
      </c>
      <c r="H41" s="1" t="s">
        <v>570</v>
      </c>
      <c r="I41" s="1" t="s">
        <v>913</v>
      </c>
      <c r="J41" s="1" t="s">
        <v>632</v>
      </c>
      <c r="K41" s="1" t="s">
        <v>615</v>
      </c>
      <c r="L41" s="5">
        <v>350000</v>
      </c>
      <c r="M41" s="1" t="s">
        <v>332</v>
      </c>
    </row>
    <row r="42" spans="1:13" x14ac:dyDescent="0.25">
      <c r="A42" s="1" t="s">
        <v>89</v>
      </c>
      <c r="B42" s="1" t="s">
        <v>324</v>
      </c>
      <c r="C42" s="1" t="s">
        <v>1736</v>
      </c>
      <c r="D42" s="1" t="s">
        <v>337</v>
      </c>
      <c r="E42" s="1" t="s">
        <v>16</v>
      </c>
      <c r="F42" s="1" t="s">
        <v>316</v>
      </c>
      <c r="G42" s="1" t="s">
        <v>675</v>
      </c>
      <c r="H42" s="1" t="s">
        <v>605</v>
      </c>
      <c r="I42" s="1" t="s">
        <v>618</v>
      </c>
      <c r="J42" s="1" t="s">
        <v>1459</v>
      </c>
      <c r="K42" s="1" t="s">
        <v>573</v>
      </c>
      <c r="L42" s="5">
        <v>25000</v>
      </c>
      <c r="M42" s="1" t="s">
        <v>361</v>
      </c>
    </row>
    <row r="43" spans="1:13" x14ac:dyDescent="0.25">
      <c r="A43" s="1" t="s">
        <v>429</v>
      </c>
      <c r="B43" s="1" t="s">
        <v>382</v>
      </c>
      <c r="C43" s="1" t="s">
        <v>1234</v>
      </c>
      <c r="D43" s="1" t="s">
        <v>426</v>
      </c>
      <c r="E43" s="1" t="s">
        <v>430</v>
      </c>
      <c r="F43" s="1" t="s">
        <v>1235</v>
      </c>
      <c r="G43" s="1" t="s">
        <v>675</v>
      </c>
      <c r="H43" s="1" t="s">
        <v>586</v>
      </c>
      <c r="I43" s="1" t="s">
        <v>618</v>
      </c>
      <c r="J43" s="1" t="s">
        <v>1236</v>
      </c>
      <c r="K43" s="1" t="s">
        <v>16</v>
      </c>
      <c r="L43" s="5">
        <v>600000</v>
      </c>
      <c r="M43" s="1" t="s">
        <v>339</v>
      </c>
    </row>
    <row r="44" spans="1:13" x14ac:dyDescent="0.25">
      <c r="A44" s="1" t="s">
        <v>785</v>
      </c>
      <c r="B44" s="1" t="s">
        <v>331</v>
      </c>
      <c r="C44" s="1" t="s">
        <v>786</v>
      </c>
      <c r="D44" s="1" t="s">
        <v>337</v>
      </c>
      <c r="E44" s="1" t="s">
        <v>16</v>
      </c>
      <c r="F44" s="1" t="s">
        <v>847</v>
      </c>
      <c r="G44" s="1" t="s">
        <v>709</v>
      </c>
      <c r="H44" s="1" t="s">
        <v>570</v>
      </c>
      <c r="I44" s="1" t="s">
        <v>772</v>
      </c>
      <c r="J44" s="1" t="s">
        <v>829</v>
      </c>
      <c r="K44" s="1" t="s">
        <v>573</v>
      </c>
      <c r="L44" s="5">
        <v>200000</v>
      </c>
      <c r="M44" s="1" t="s">
        <v>334</v>
      </c>
    </row>
    <row r="45" spans="1:13" x14ac:dyDescent="0.25">
      <c r="A45" s="1" t="s">
        <v>1058</v>
      </c>
      <c r="B45" s="1" t="s">
        <v>0</v>
      </c>
      <c r="C45" s="1" t="s">
        <v>1059</v>
      </c>
      <c r="D45" s="1" t="s">
        <v>337</v>
      </c>
      <c r="E45" s="1" t="s">
        <v>16</v>
      </c>
      <c r="F45" s="1" t="s">
        <v>1060</v>
      </c>
      <c r="G45" s="1" t="s">
        <v>627</v>
      </c>
      <c r="H45" s="1" t="s">
        <v>16</v>
      </c>
      <c r="I45" s="1" t="s">
        <v>782</v>
      </c>
      <c r="J45" s="1" t="s">
        <v>1061</v>
      </c>
      <c r="K45" s="1" t="s">
        <v>615</v>
      </c>
      <c r="L45" s="5">
        <v>50000</v>
      </c>
      <c r="M45" s="1" t="s">
        <v>338</v>
      </c>
    </row>
    <row r="46" spans="1:13" x14ac:dyDescent="0.25">
      <c r="A46" s="1" t="s">
        <v>381</v>
      </c>
      <c r="B46" s="1" t="s">
        <v>382</v>
      </c>
      <c r="C46" s="1" t="s">
        <v>753</v>
      </c>
      <c r="D46" s="1" t="s">
        <v>364</v>
      </c>
      <c r="E46" s="1" t="s">
        <v>16</v>
      </c>
      <c r="F46" s="1" t="s">
        <v>334</v>
      </c>
      <c r="G46" s="1" t="s">
        <v>580</v>
      </c>
      <c r="H46" s="1" t="s">
        <v>586</v>
      </c>
      <c r="I46" s="1" t="s">
        <v>754</v>
      </c>
      <c r="J46" s="1" t="s">
        <v>832</v>
      </c>
      <c r="K46" s="1" t="s">
        <v>588</v>
      </c>
      <c r="L46" s="5">
        <v>1800000</v>
      </c>
      <c r="M46" s="1" t="s">
        <v>334</v>
      </c>
    </row>
    <row r="47" spans="1:13" x14ac:dyDescent="0.25">
      <c r="A47" s="1" t="s">
        <v>500</v>
      </c>
      <c r="B47" s="1" t="s">
        <v>382</v>
      </c>
      <c r="C47" s="1" t="s">
        <v>1154</v>
      </c>
      <c r="D47" s="1" t="s">
        <v>337</v>
      </c>
      <c r="E47" s="1" t="s">
        <v>16</v>
      </c>
      <c r="F47" s="1" t="s">
        <v>344</v>
      </c>
      <c r="G47" s="1" t="s">
        <v>656</v>
      </c>
      <c r="H47" s="1" t="s">
        <v>16</v>
      </c>
      <c r="I47" s="1" t="s">
        <v>618</v>
      </c>
      <c r="J47" s="1" t="s">
        <v>318</v>
      </c>
      <c r="K47" s="1" t="s">
        <v>615</v>
      </c>
      <c r="L47" s="5">
        <v>1200000</v>
      </c>
      <c r="M47" s="1" t="s">
        <v>344</v>
      </c>
    </row>
    <row r="48" spans="1:13" x14ac:dyDescent="0.25">
      <c r="A48" s="1" t="s">
        <v>209</v>
      </c>
      <c r="B48" s="1" t="s">
        <v>382</v>
      </c>
      <c r="C48" s="1" t="s">
        <v>1893</v>
      </c>
      <c r="D48" s="1" t="s">
        <v>337</v>
      </c>
      <c r="E48" s="1" t="s">
        <v>16</v>
      </c>
      <c r="F48" s="1" t="s">
        <v>319</v>
      </c>
      <c r="G48" s="1" t="s">
        <v>609</v>
      </c>
      <c r="H48" s="1" t="s">
        <v>570</v>
      </c>
      <c r="I48" s="1" t="s">
        <v>1469</v>
      </c>
      <c r="J48" s="1" t="s">
        <v>1107</v>
      </c>
      <c r="K48" s="1" t="s">
        <v>573</v>
      </c>
      <c r="L48" s="5">
        <v>300000</v>
      </c>
      <c r="M48" s="1" t="s">
        <v>319</v>
      </c>
    </row>
    <row r="49" spans="1:13" x14ac:dyDescent="0.25">
      <c r="A49" s="1" t="s">
        <v>150</v>
      </c>
      <c r="B49" s="1" t="s">
        <v>376</v>
      </c>
      <c r="C49" s="1" t="s">
        <v>1165</v>
      </c>
      <c r="D49" s="1" t="s">
        <v>337</v>
      </c>
      <c r="E49" s="1" t="s">
        <v>16</v>
      </c>
      <c r="F49" s="1" t="s">
        <v>344</v>
      </c>
      <c r="G49" s="1" t="s">
        <v>709</v>
      </c>
      <c r="H49" s="1" t="s">
        <v>16</v>
      </c>
      <c r="I49" s="1" t="s">
        <v>922</v>
      </c>
      <c r="J49" s="1" t="s">
        <v>632</v>
      </c>
      <c r="K49" s="1" t="s">
        <v>615</v>
      </c>
      <c r="L49" s="5">
        <v>1000000</v>
      </c>
      <c r="M49" s="1" t="s">
        <v>344</v>
      </c>
    </row>
    <row r="50" spans="1:13" x14ac:dyDescent="0.25">
      <c r="A50" s="1" t="s">
        <v>170</v>
      </c>
      <c r="B50" s="1" t="s">
        <v>325</v>
      </c>
      <c r="C50" s="1" t="s">
        <v>1047</v>
      </c>
      <c r="D50" s="1" t="s">
        <v>337</v>
      </c>
      <c r="E50" s="1" t="s">
        <v>16</v>
      </c>
      <c r="F50" s="1" t="s">
        <v>1048</v>
      </c>
      <c r="G50" s="1" t="s">
        <v>617</v>
      </c>
      <c r="H50" s="1" t="s">
        <v>605</v>
      </c>
      <c r="I50" s="1" t="s">
        <v>1049</v>
      </c>
      <c r="J50" s="1" t="s">
        <v>985</v>
      </c>
      <c r="K50" s="1" t="s">
        <v>573</v>
      </c>
      <c r="L50" s="5">
        <v>25000</v>
      </c>
      <c r="M50" s="1" t="s">
        <v>341</v>
      </c>
    </row>
    <row r="51" spans="1:13" x14ac:dyDescent="0.25">
      <c r="A51" s="1" t="s">
        <v>1437</v>
      </c>
      <c r="B51" s="1" t="s">
        <v>324</v>
      </c>
      <c r="C51" s="1" t="s">
        <v>1438</v>
      </c>
      <c r="D51" s="1" t="s">
        <v>430</v>
      </c>
      <c r="E51" s="1" t="s">
        <v>16</v>
      </c>
      <c r="F51" s="1" t="s">
        <v>317</v>
      </c>
      <c r="G51" s="1" t="s">
        <v>612</v>
      </c>
      <c r="H51" s="1" t="s">
        <v>570</v>
      </c>
      <c r="I51" s="1" t="s">
        <v>1381</v>
      </c>
      <c r="J51" s="1" t="s">
        <v>1378</v>
      </c>
      <c r="K51" s="1" t="s">
        <v>573</v>
      </c>
      <c r="L51" s="5">
        <v>25000</v>
      </c>
      <c r="M51" s="1" t="s">
        <v>317</v>
      </c>
    </row>
    <row r="52" spans="1:13" x14ac:dyDescent="0.25">
      <c r="A52" s="1" t="s">
        <v>2103</v>
      </c>
      <c r="B52" s="1" t="s">
        <v>326</v>
      </c>
      <c r="C52" s="1" t="s">
        <v>1390</v>
      </c>
      <c r="D52" s="1" t="s">
        <v>430</v>
      </c>
      <c r="E52" s="1" t="s">
        <v>16</v>
      </c>
      <c r="F52" s="1" t="s">
        <v>316</v>
      </c>
      <c r="G52" s="1" t="s">
        <v>656</v>
      </c>
      <c r="H52" s="1" t="s">
        <v>570</v>
      </c>
      <c r="I52" s="3">
        <v>44635</v>
      </c>
      <c r="J52" s="1" t="s">
        <v>2104</v>
      </c>
      <c r="K52" s="1" t="s">
        <v>615</v>
      </c>
      <c r="L52" s="5">
        <v>700000</v>
      </c>
      <c r="M52" s="1" t="s">
        <v>316</v>
      </c>
    </row>
    <row r="53" spans="1:13" x14ac:dyDescent="0.25">
      <c r="A53" s="1" t="s">
        <v>454</v>
      </c>
      <c r="B53" s="1" t="s">
        <v>382</v>
      </c>
      <c r="C53" s="1" t="s">
        <v>1914</v>
      </c>
      <c r="D53" s="1" t="s">
        <v>430</v>
      </c>
      <c r="E53" s="1" t="s">
        <v>337</v>
      </c>
      <c r="F53" s="1" t="s">
        <v>316</v>
      </c>
      <c r="G53" s="1" t="s">
        <v>633</v>
      </c>
      <c r="H53" s="1" t="s">
        <v>586</v>
      </c>
      <c r="I53" s="1" t="s">
        <v>2053</v>
      </c>
      <c r="J53" s="1" t="s">
        <v>2054</v>
      </c>
      <c r="K53" s="1" t="s">
        <v>573</v>
      </c>
      <c r="L53" s="5">
        <v>100000</v>
      </c>
      <c r="M53" s="1" t="s">
        <v>316</v>
      </c>
    </row>
    <row r="54" spans="1:13" x14ac:dyDescent="0.25">
      <c r="A54" s="1" t="s">
        <v>174</v>
      </c>
      <c r="B54" s="1" t="s">
        <v>357</v>
      </c>
      <c r="C54" s="1" t="s">
        <v>1322</v>
      </c>
      <c r="D54" s="1" t="s">
        <v>337</v>
      </c>
      <c r="E54" s="1" t="s">
        <v>16</v>
      </c>
      <c r="F54" s="1" t="s">
        <v>1221</v>
      </c>
      <c r="G54" s="1" t="s">
        <v>775</v>
      </c>
      <c r="H54" s="1" t="s">
        <v>570</v>
      </c>
      <c r="I54" s="1" t="s">
        <v>1323</v>
      </c>
      <c r="J54" s="1" t="s">
        <v>853</v>
      </c>
      <c r="K54" s="1" t="s">
        <v>615</v>
      </c>
      <c r="L54" s="5">
        <v>150000</v>
      </c>
      <c r="M54" s="1" t="s">
        <v>315</v>
      </c>
    </row>
    <row r="55" spans="1:13" x14ac:dyDescent="0.25">
      <c r="A55" s="1" t="s">
        <v>123</v>
      </c>
      <c r="B55" s="1" t="s">
        <v>0</v>
      </c>
      <c r="C55" s="1" t="s">
        <v>589</v>
      </c>
      <c r="D55" s="1" t="s">
        <v>337</v>
      </c>
      <c r="E55" s="1" t="s">
        <v>16</v>
      </c>
      <c r="F55" s="1" t="s">
        <v>590</v>
      </c>
      <c r="G55" s="1" t="s">
        <v>591</v>
      </c>
      <c r="H55" s="1" t="s">
        <v>570</v>
      </c>
      <c r="I55" s="1" t="s">
        <v>592</v>
      </c>
      <c r="J55" s="1" t="s">
        <v>593</v>
      </c>
      <c r="K55" s="1" t="s">
        <v>16</v>
      </c>
      <c r="L55" s="5">
        <v>50000</v>
      </c>
      <c r="M55" s="1" t="s">
        <v>318</v>
      </c>
    </row>
    <row r="56" spans="1:13" x14ac:dyDescent="0.25">
      <c r="A56" s="1" t="s">
        <v>625</v>
      </c>
      <c r="B56" s="1" t="s">
        <v>382</v>
      </c>
      <c r="C56" s="1" t="s">
        <v>626</v>
      </c>
      <c r="D56" s="1" t="s">
        <v>337</v>
      </c>
      <c r="E56" s="1" t="s">
        <v>16</v>
      </c>
      <c r="F56" s="1" t="s">
        <v>318</v>
      </c>
      <c r="G56" s="1" t="s">
        <v>627</v>
      </c>
      <c r="H56" s="1" t="s">
        <v>570</v>
      </c>
      <c r="I56" s="1" t="s">
        <v>628</v>
      </c>
      <c r="J56" s="1" t="s">
        <v>629</v>
      </c>
      <c r="K56" s="1" t="s">
        <v>615</v>
      </c>
      <c r="L56" s="5">
        <v>200000</v>
      </c>
      <c r="M56" s="1" t="s">
        <v>318</v>
      </c>
    </row>
    <row r="57" spans="1:13" x14ac:dyDescent="0.25">
      <c r="A57" s="1" t="s">
        <v>106</v>
      </c>
      <c r="B57" s="1" t="s">
        <v>325</v>
      </c>
      <c r="C57" s="1" t="s">
        <v>823</v>
      </c>
      <c r="D57" s="1" t="s">
        <v>337</v>
      </c>
      <c r="E57" s="1" t="s">
        <v>16</v>
      </c>
      <c r="F57" s="1" t="s">
        <v>334</v>
      </c>
      <c r="G57" s="1" t="s">
        <v>617</v>
      </c>
      <c r="H57" s="1" t="s">
        <v>570</v>
      </c>
      <c r="I57" s="1" t="s">
        <v>618</v>
      </c>
      <c r="J57" s="1" t="s">
        <v>861</v>
      </c>
      <c r="K57" s="1" t="s">
        <v>573</v>
      </c>
      <c r="L57" s="5">
        <v>200000</v>
      </c>
      <c r="M57" s="1" t="s">
        <v>334</v>
      </c>
    </row>
    <row r="58" spans="1:13" x14ac:dyDescent="0.25">
      <c r="A58" s="1" t="s">
        <v>488</v>
      </c>
      <c r="B58" s="1" t="s">
        <v>331</v>
      </c>
      <c r="C58" s="1" t="s">
        <v>2158</v>
      </c>
      <c r="D58" s="1" t="s">
        <v>365</v>
      </c>
      <c r="E58" s="1" t="s">
        <v>489</v>
      </c>
      <c r="F58" s="1" t="s">
        <v>2159</v>
      </c>
      <c r="G58" s="1" t="s">
        <v>722</v>
      </c>
      <c r="H58" s="1" t="s">
        <v>605</v>
      </c>
      <c r="I58" s="1" t="s">
        <v>618</v>
      </c>
      <c r="J58" s="1" t="s">
        <v>1405</v>
      </c>
      <c r="K58" s="1" t="s">
        <v>615</v>
      </c>
      <c r="L58" s="5">
        <v>900000</v>
      </c>
      <c r="M58" s="1" t="s">
        <v>383</v>
      </c>
    </row>
    <row r="59" spans="1:13" x14ac:dyDescent="0.25">
      <c r="A59" s="1" t="s">
        <v>93</v>
      </c>
      <c r="B59" s="1" t="s">
        <v>357</v>
      </c>
      <c r="C59" s="1" t="s">
        <v>768</v>
      </c>
      <c r="D59" s="1" t="s">
        <v>438</v>
      </c>
      <c r="E59" s="1" t="s">
        <v>16</v>
      </c>
      <c r="F59" s="1" t="s">
        <v>334</v>
      </c>
      <c r="G59" s="1" t="s">
        <v>769</v>
      </c>
      <c r="H59" s="1" t="s">
        <v>586</v>
      </c>
      <c r="I59" s="1" t="s">
        <v>770</v>
      </c>
      <c r="J59" s="1" t="s">
        <v>838</v>
      </c>
      <c r="K59" s="1" t="s">
        <v>573</v>
      </c>
      <c r="L59" s="5">
        <v>600000</v>
      </c>
      <c r="M59" s="1" t="s">
        <v>334</v>
      </c>
    </row>
    <row r="60" spans="1:13" x14ac:dyDescent="0.25">
      <c r="A60" s="1" t="s">
        <v>1587</v>
      </c>
      <c r="B60" s="1" t="s">
        <v>352</v>
      </c>
      <c r="C60" s="1" t="s">
        <v>1629</v>
      </c>
      <c r="D60" s="1" t="s">
        <v>337</v>
      </c>
      <c r="E60" s="1" t="s">
        <v>16</v>
      </c>
      <c r="F60" s="1" t="s">
        <v>590</v>
      </c>
      <c r="G60" s="1" t="s">
        <v>617</v>
      </c>
      <c r="H60" s="1" t="s">
        <v>570</v>
      </c>
      <c r="I60" s="1" t="s">
        <v>1630</v>
      </c>
      <c r="J60" s="1" t="s">
        <v>1631</v>
      </c>
      <c r="K60" s="1" t="s">
        <v>16</v>
      </c>
      <c r="L60" s="5">
        <v>150000</v>
      </c>
      <c r="M60" s="1" t="s">
        <v>349</v>
      </c>
    </row>
    <row r="61" spans="1:13" x14ac:dyDescent="0.25">
      <c r="A61" s="1" t="s">
        <v>691</v>
      </c>
      <c r="B61" s="1" t="s">
        <v>324</v>
      </c>
      <c r="C61" s="1" t="s">
        <v>692</v>
      </c>
      <c r="D61" s="1" t="s">
        <v>337</v>
      </c>
      <c r="E61" s="1" t="s">
        <v>16</v>
      </c>
      <c r="F61" s="1" t="s">
        <v>319</v>
      </c>
      <c r="G61" s="1" t="s">
        <v>656</v>
      </c>
      <c r="H61" s="1" t="s">
        <v>16</v>
      </c>
      <c r="I61" s="1" t="s">
        <v>693</v>
      </c>
      <c r="J61" s="1" t="s">
        <v>577</v>
      </c>
      <c r="K61" s="1" t="s">
        <v>573</v>
      </c>
      <c r="L61" s="5">
        <v>100000</v>
      </c>
      <c r="M61" s="1" t="s">
        <v>318</v>
      </c>
    </row>
    <row r="62" spans="1:13" x14ac:dyDescent="0.25">
      <c r="A62" s="1" t="s">
        <v>1223</v>
      </c>
      <c r="B62" s="1" t="s">
        <v>0</v>
      </c>
      <c r="C62" s="1" t="s">
        <v>1224</v>
      </c>
      <c r="D62" s="1" t="s">
        <v>337</v>
      </c>
      <c r="E62" s="1" t="s">
        <v>16</v>
      </c>
      <c r="F62" s="1" t="s">
        <v>339</v>
      </c>
      <c r="G62" s="1" t="s">
        <v>569</v>
      </c>
      <c r="H62" s="1" t="s">
        <v>16</v>
      </c>
      <c r="I62" s="1" t="s">
        <v>1225</v>
      </c>
      <c r="J62" s="1" t="s">
        <v>1226</v>
      </c>
      <c r="K62" s="1" t="s">
        <v>578</v>
      </c>
      <c r="L62" s="5">
        <v>100000</v>
      </c>
      <c r="M62" s="1" t="s">
        <v>339</v>
      </c>
    </row>
    <row r="63" spans="1:13" x14ac:dyDescent="0.25">
      <c r="A63" s="1" t="s">
        <v>2242</v>
      </c>
      <c r="B63" s="1" t="s">
        <v>331</v>
      </c>
      <c r="C63" s="1" t="s">
        <v>2243</v>
      </c>
      <c r="D63" s="1" t="s">
        <v>337</v>
      </c>
      <c r="E63" s="1" t="s">
        <v>16</v>
      </c>
      <c r="F63" s="1" t="s">
        <v>964</v>
      </c>
      <c r="G63" s="1" t="s">
        <v>617</v>
      </c>
      <c r="H63" s="1" t="s">
        <v>570</v>
      </c>
      <c r="I63" s="1" t="s">
        <v>2244</v>
      </c>
      <c r="J63" s="1" t="s">
        <v>853</v>
      </c>
      <c r="K63" s="1" t="s">
        <v>615</v>
      </c>
      <c r="L63" s="5">
        <v>100000</v>
      </c>
      <c r="M63" s="1" t="s">
        <v>348</v>
      </c>
    </row>
    <row r="64" spans="1:13" x14ac:dyDescent="0.25">
      <c r="A64" s="1" t="s">
        <v>1805</v>
      </c>
      <c r="B64" s="1" t="s">
        <v>376</v>
      </c>
      <c r="C64" s="1" t="s">
        <v>1806</v>
      </c>
      <c r="D64" s="1" t="s">
        <v>337</v>
      </c>
      <c r="E64" s="1" t="s">
        <v>16</v>
      </c>
      <c r="F64" s="1" t="s">
        <v>340</v>
      </c>
      <c r="G64" s="1" t="s">
        <v>675</v>
      </c>
      <c r="H64" s="1" t="s">
        <v>16</v>
      </c>
      <c r="I64" s="1" t="s">
        <v>618</v>
      </c>
      <c r="J64" s="1" t="s">
        <v>1282</v>
      </c>
      <c r="K64" s="1" t="s">
        <v>615</v>
      </c>
      <c r="L64" s="5">
        <v>75000</v>
      </c>
      <c r="M64" s="1" t="s">
        <v>340</v>
      </c>
    </row>
    <row r="65" spans="1:13" x14ac:dyDescent="0.25">
      <c r="A65" s="1" t="s">
        <v>1441</v>
      </c>
      <c r="B65" s="1" t="s">
        <v>326</v>
      </c>
      <c r="C65" s="1" t="s">
        <v>1442</v>
      </c>
      <c r="D65" s="1" t="s">
        <v>337</v>
      </c>
      <c r="E65" s="1" t="s">
        <v>16</v>
      </c>
      <c r="F65" s="1" t="s">
        <v>1378</v>
      </c>
      <c r="G65" s="1" t="s">
        <v>656</v>
      </c>
      <c r="H65" s="1" t="s">
        <v>16</v>
      </c>
      <c r="I65" s="1" t="s">
        <v>1381</v>
      </c>
      <c r="J65" s="1" t="s">
        <v>1378</v>
      </c>
      <c r="K65" s="1" t="s">
        <v>16</v>
      </c>
      <c r="L65" s="5">
        <v>50000</v>
      </c>
      <c r="M65" s="1" t="s">
        <v>317</v>
      </c>
    </row>
    <row r="66" spans="1:13" x14ac:dyDescent="0.25">
      <c r="A66" s="1" t="s">
        <v>467</v>
      </c>
      <c r="B66" s="1" t="s">
        <v>376</v>
      </c>
      <c r="C66" s="1" t="s">
        <v>2062</v>
      </c>
      <c r="D66" s="1" t="s">
        <v>337</v>
      </c>
      <c r="E66" s="1" t="s">
        <v>16</v>
      </c>
      <c r="F66" s="1" t="s">
        <v>316</v>
      </c>
      <c r="G66" s="1" t="s">
        <v>775</v>
      </c>
      <c r="H66" s="1" t="s">
        <v>570</v>
      </c>
      <c r="I66" s="1" t="s">
        <v>1310</v>
      </c>
      <c r="J66" s="1" t="s">
        <v>348</v>
      </c>
      <c r="K66" s="1" t="s">
        <v>573</v>
      </c>
      <c r="L66" s="5">
        <v>150000</v>
      </c>
      <c r="M66" s="1" t="s">
        <v>316</v>
      </c>
    </row>
    <row r="67" spans="1:13" x14ac:dyDescent="0.25">
      <c r="A67" s="1" t="s">
        <v>995</v>
      </c>
      <c r="B67" s="1" t="s">
        <v>382</v>
      </c>
      <c r="C67" s="1" t="s">
        <v>996</v>
      </c>
      <c r="D67" s="1" t="s">
        <v>337</v>
      </c>
      <c r="E67" s="1" t="s">
        <v>16</v>
      </c>
      <c r="F67" s="1" t="s">
        <v>997</v>
      </c>
      <c r="G67" s="1" t="s">
        <v>617</v>
      </c>
      <c r="H67" s="1" t="s">
        <v>586</v>
      </c>
      <c r="I67" s="1" t="s">
        <v>592</v>
      </c>
      <c r="J67" s="1" t="s">
        <v>997</v>
      </c>
      <c r="K67" s="1" t="s">
        <v>573</v>
      </c>
      <c r="L67" s="5">
        <v>50000</v>
      </c>
      <c r="M67" s="1" t="s">
        <v>341</v>
      </c>
    </row>
    <row r="68" spans="1:13" x14ac:dyDescent="0.25">
      <c r="A68" s="1" t="s">
        <v>464</v>
      </c>
      <c r="B68" s="1" t="s">
        <v>324</v>
      </c>
      <c r="C68" s="1" t="s">
        <v>2009</v>
      </c>
      <c r="D68" s="1" t="s">
        <v>337</v>
      </c>
      <c r="E68" s="1" t="s">
        <v>16</v>
      </c>
      <c r="F68" s="1" t="s">
        <v>1130</v>
      </c>
      <c r="G68" s="1" t="s">
        <v>702</v>
      </c>
      <c r="H68" s="1" t="s">
        <v>570</v>
      </c>
      <c r="I68" s="1" t="s">
        <v>2010</v>
      </c>
      <c r="J68" s="1" t="s">
        <v>2011</v>
      </c>
      <c r="K68" s="1" t="s">
        <v>615</v>
      </c>
      <c r="L68" s="5">
        <v>400000</v>
      </c>
      <c r="M68" s="1" t="s">
        <v>345</v>
      </c>
    </row>
    <row r="69" spans="1:13" x14ac:dyDescent="0.25">
      <c r="A69" s="1" t="s">
        <v>523</v>
      </c>
      <c r="B69" s="1" t="s">
        <v>357</v>
      </c>
      <c r="C69" s="1" t="s">
        <v>1698</v>
      </c>
      <c r="D69" s="1" t="s">
        <v>337</v>
      </c>
      <c r="E69" s="1" t="s">
        <v>16</v>
      </c>
      <c r="F69" s="1" t="s">
        <v>361</v>
      </c>
      <c r="G69" s="1" t="s">
        <v>617</v>
      </c>
      <c r="H69" s="1" t="s">
        <v>586</v>
      </c>
      <c r="I69" s="1" t="s">
        <v>1699</v>
      </c>
      <c r="J69" s="1" t="s">
        <v>836</v>
      </c>
      <c r="K69" s="1" t="s">
        <v>578</v>
      </c>
      <c r="L69" s="5">
        <v>350000</v>
      </c>
      <c r="M69" s="1" t="s">
        <v>361</v>
      </c>
    </row>
    <row r="70" spans="1:13" x14ac:dyDescent="0.25">
      <c r="A70" s="1" t="s">
        <v>1719</v>
      </c>
      <c r="B70" s="1" t="s">
        <v>330</v>
      </c>
      <c r="C70" s="1" t="s">
        <v>1720</v>
      </c>
      <c r="D70" s="1" t="s">
        <v>337</v>
      </c>
      <c r="E70" s="1" t="s">
        <v>16</v>
      </c>
      <c r="F70" s="1" t="s">
        <v>1721</v>
      </c>
      <c r="G70" s="1" t="s">
        <v>612</v>
      </c>
      <c r="H70" s="1" t="s">
        <v>16</v>
      </c>
      <c r="I70" s="1" t="s">
        <v>1663</v>
      </c>
      <c r="J70" s="1" t="s">
        <v>1666</v>
      </c>
      <c r="K70" s="1" t="s">
        <v>573</v>
      </c>
      <c r="L70" s="5">
        <v>25000</v>
      </c>
      <c r="M70" s="1" t="s">
        <v>361</v>
      </c>
    </row>
    <row r="71" spans="1:13" x14ac:dyDescent="0.25">
      <c r="A71" s="1" t="s">
        <v>79</v>
      </c>
      <c r="B71" s="1" t="s">
        <v>325</v>
      </c>
      <c r="C71" s="1" t="s">
        <v>1754</v>
      </c>
      <c r="D71" s="1" t="s">
        <v>337</v>
      </c>
      <c r="E71" s="1" t="s">
        <v>16</v>
      </c>
      <c r="F71" s="1" t="s">
        <v>361</v>
      </c>
      <c r="G71" s="1" t="s">
        <v>612</v>
      </c>
      <c r="H71" s="1" t="s">
        <v>605</v>
      </c>
      <c r="I71" s="1" t="s">
        <v>1755</v>
      </c>
      <c r="J71" s="1" t="s">
        <v>1672</v>
      </c>
      <c r="K71" s="1" t="s">
        <v>573</v>
      </c>
      <c r="L71" s="5">
        <v>550000</v>
      </c>
      <c r="M71" s="1" t="s">
        <v>361</v>
      </c>
    </row>
    <row r="72" spans="1:13" x14ac:dyDescent="0.25">
      <c r="A72" s="1" t="s">
        <v>1992</v>
      </c>
      <c r="B72" s="1" t="s">
        <v>330</v>
      </c>
      <c r="C72" s="1" t="s">
        <v>1993</v>
      </c>
      <c r="D72" s="1" t="s">
        <v>337</v>
      </c>
      <c r="E72" s="1" t="s">
        <v>16</v>
      </c>
      <c r="F72" s="1" t="s">
        <v>1994</v>
      </c>
      <c r="G72" s="1" t="s">
        <v>775</v>
      </c>
      <c r="H72" s="1" t="s">
        <v>570</v>
      </c>
      <c r="I72" s="3">
        <v>43552</v>
      </c>
      <c r="J72" s="1" t="s">
        <v>1968</v>
      </c>
      <c r="K72" s="1" t="s">
        <v>615</v>
      </c>
      <c r="L72" s="5">
        <v>50000</v>
      </c>
      <c r="M72" s="1" t="s">
        <v>345</v>
      </c>
    </row>
    <row r="73" spans="1:13" x14ac:dyDescent="0.25">
      <c r="A73" s="1" t="s">
        <v>133</v>
      </c>
      <c r="B73" s="1" t="s">
        <v>331</v>
      </c>
      <c r="C73" s="1" t="s">
        <v>645</v>
      </c>
      <c r="D73" s="1" t="s">
        <v>337</v>
      </c>
      <c r="E73" s="1" t="s">
        <v>16</v>
      </c>
      <c r="F73" s="1" t="s">
        <v>318</v>
      </c>
      <c r="G73" s="1" t="s">
        <v>646</v>
      </c>
      <c r="H73" s="1" t="s">
        <v>570</v>
      </c>
      <c r="I73" s="1" t="s">
        <v>647</v>
      </c>
      <c r="J73" s="1" t="s">
        <v>648</v>
      </c>
      <c r="K73" s="1" t="s">
        <v>588</v>
      </c>
      <c r="L73" s="5">
        <v>1200000</v>
      </c>
      <c r="M73" s="1" t="s">
        <v>318</v>
      </c>
    </row>
    <row r="74" spans="1:13" x14ac:dyDescent="0.25">
      <c r="A74" s="1" t="s">
        <v>245</v>
      </c>
      <c r="B74" s="1" t="s">
        <v>382</v>
      </c>
      <c r="C74" s="1" t="s">
        <v>1605</v>
      </c>
      <c r="D74" s="1" t="s">
        <v>337</v>
      </c>
      <c r="E74" s="1" t="s">
        <v>16</v>
      </c>
      <c r="F74" s="1" t="s">
        <v>349</v>
      </c>
      <c r="G74" s="1" t="s">
        <v>633</v>
      </c>
      <c r="H74" s="1" t="s">
        <v>570</v>
      </c>
      <c r="I74" s="1" t="s">
        <v>1606</v>
      </c>
      <c r="J74" s="1" t="s">
        <v>1581</v>
      </c>
      <c r="K74" s="1" t="s">
        <v>573</v>
      </c>
      <c r="L74" s="5">
        <v>100000</v>
      </c>
      <c r="M74" s="1" t="s">
        <v>349</v>
      </c>
    </row>
    <row r="75" spans="1:13" x14ac:dyDescent="0.25">
      <c r="A75" s="1" t="s">
        <v>980</v>
      </c>
      <c r="B75" s="1" t="s">
        <v>0</v>
      </c>
      <c r="C75" s="1" t="s">
        <v>981</v>
      </c>
      <c r="D75" s="1" t="s">
        <v>337</v>
      </c>
      <c r="E75" s="1" t="s">
        <v>16</v>
      </c>
      <c r="F75" s="1" t="s">
        <v>341</v>
      </c>
      <c r="G75" s="1" t="s">
        <v>591</v>
      </c>
      <c r="H75" s="1" t="s">
        <v>605</v>
      </c>
      <c r="I75" s="1" t="s">
        <v>618</v>
      </c>
      <c r="J75" s="1" t="s">
        <v>601</v>
      </c>
      <c r="K75" s="1" t="s">
        <v>578</v>
      </c>
      <c r="L75" s="5">
        <v>100000</v>
      </c>
      <c r="M75" s="1" t="s">
        <v>341</v>
      </c>
    </row>
    <row r="76" spans="1:13" x14ac:dyDescent="0.25">
      <c r="A76" s="1" t="s">
        <v>289</v>
      </c>
      <c r="B76" s="1" t="s">
        <v>382</v>
      </c>
      <c r="C76" s="1" t="s">
        <v>1067</v>
      </c>
      <c r="D76" s="1" t="s">
        <v>337</v>
      </c>
      <c r="E76" s="1" t="s">
        <v>16</v>
      </c>
      <c r="F76" s="1" t="s">
        <v>340</v>
      </c>
      <c r="G76" s="1" t="s">
        <v>633</v>
      </c>
      <c r="H76" s="1" t="s">
        <v>570</v>
      </c>
      <c r="I76" s="1" t="s">
        <v>592</v>
      </c>
      <c r="J76" s="1" t="s">
        <v>340</v>
      </c>
      <c r="K76" s="1" t="s">
        <v>578</v>
      </c>
      <c r="L76" s="5">
        <v>500000</v>
      </c>
      <c r="M76" s="1" t="s">
        <v>338</v>
      </c>
    </row>
    <row r="77" spans="1:13" x14ac:dyDescent="0.25">
      <c r="A77" s="1" t="s">
        <v>289</v>
      </c>
      <c r="B77" s="1" t="s">
        <v>382</v>
      </c>
      <c r="C77" s="1" t="s">
        <v>1067</v>
      </c>
      <c r="D77" s="1" t="s">
        <v>337</v>
      </c>
      <c r="E77" s="1" t="s">
        <v>16</v>
      </c>
      <c r="F77" s="1" t="s">
        <v>340</v>
      </c>
      <c r="G77" s="1" t="s">
        <v>633</v>
      </c>
      <c r="H77" s="1" t="s">
        <v>570</v>
      </c>
      <c r="I77" s="1" t="s">
        <v>1788</v>
      </c>
      <c r="J77" s="1" t="s">
        <v>338</v>
      </c>
      <c r="K77" s="1" t="s">
        <v>578</v>
      </c>
      <c r="L77" s="5">
        <v>500000</v>
      </c>
      <c r="M77" s="1" t="s">
        <v>340</v>
      </c>
    </row>
    <row r="78" spans="1:13" x14ac:dyDescent="0.25">
      <c r="A78" s="1" t="s">
        <v>1686</v>
      </c>
      <c r="B78" s="1" t="s">
        <v>382</v>
      </c>
      <c r="C78" s="1" t="s">
        <v>1687</v>
      </c>
      <c r="D78" s="1" t="s">
        <v>337</v>
      </c>
      <c r="E78" s="1" t="s">
        <v>16</v>
      </c>
      <c r="F78" s="1" t="s">
        <v>731</v>
      </c>
      <c r="G78" s="1" t="s">
        <v>627</v>
      </c>
      <c r="H78" s="1" t="s">
        <v>570</v>
      </c>
      <c r="I78" s="1" t="s">
        <v>1688</v>
      </c>
      <c r="J78" s="1" t="s">
        <v>731</v>
      </c>
      <c r="K78" s="1" t="s">
        <v>615</v>
      </c>
      <c r="L78" s="5">
        <v>100000</v>
      </c>
      <c r="M78" s="1" t="s">
        <v>361</v>
      </c>
    </row>
    <row r="79" spans="1:13" x14ac:dyDescent="0.25">
      <c r="A79" s="1" t="s">
        <v>1141</v>
      </c>
      <c r="B79" s="1" t="s">
        <v>331</v>
      </c>
      <c r="C79" s="1" t="s">
        <v>1180</v>
      </c>
      <c r="D79" s="1" t="s">
        <v>337</v>
      </c>
      <c r="E79" s="1" t="s">
        <v>16</v>
      </c>
      <c r="F79" s="1" t="s">
        <v>344</v>
      </c>
      <c r="G79" s="1" t="s">
        <v>656</v>
      </c>
      <c r="H79" s="1" t="s">
        <v>16</v>
      </c>
      <c r="I79" s="1" t="s">
        <v>1181</v>
      </c>
      <c r="J79" s="1" t="s">
        <v>1148</v>
      </c>
      <c r="K79" s="1" t="s">
        <v>573</v>
      </c>
      <c r="L79" s="5">
        <v>25000</v>
      </c>
      <c r="M79" s="1" t="s">
        <v>344</v>
      </c>
    </row>
    <row r="80" spans="1:13" x14ac:dyDescent="0.25">
      <c r="A80" s="1" t="s">
        <v>204</v>
      </c>
      <c r="B80" s="1" t="s">
        <v>0</v>
      </c>
      <c r="C80" s="1" t="s">
        <v>750</v>
      </c>
      <c r="D80" s="1" t="s">
        <v>337</v>
      </c>
      <c r="E80" s="1" t="s">
        <v>16</v>
      </c>
      <c r="F80" s="1" t="s">
        <v>319</v>
      </c>
      <c r="G80" s="1" t="s">
        <v>585</v>
      </c>
      <c r="H80" s="1" t="s">
        <v>570</v>
      </c>
      <c r="I80" s="1" t="s">
        <v>746</v>
      </c>
      <c r="J80" s="1" t="s">
        <v>829</v>
      </c>
      <c r="K80" s="1" t="s">
        <v>573</v>
      </c>
      <c r="L80" s="5">
        <v>100000</v>
      </c>
      <c r="M80" s="1" t="s">
        <v>334</v>
      </c>
    </row>
    <row r="81" spans="1:13" x14ac:dyDescent="0.25">
      <c r="A81" s="1" t="s">
        <v>204</v>
      </c>
      <c r="B81" s="1" t="s">
        <v>0</v>
      </c>
      <c r="C81" s="1" t="s">
        <v>750</v>
      </c>
      <c r="D81" s="1" t="s">
        <v>337</v>
      </c>
      <c r="E81" s="1" t="s">
        <v>16</v>
      </c>
      <c r="F81" s="1" t="s">
        <v>319</v>
      </c>
      <c r="G81" s="1" t="s">
        <v>585</v>
      </c>
      <c r="H81" s="1" t="s">
        <v>570</v>
      </c>
      <c r="I81" s="1" t="s">
        <v>1883</v>
      </c>
      <c r="J81" s="1" t="s">
        <v>334</v>
      </c>
      <c r="K81" s="1" t="s">
        <v>573</v>
      </c>
      <c r="L81" s="5">
        <v>100000</v>
      </c>
      <c r="M81" s="1" t="s">
        <v>319</v>
      </c>
    </row>
    <row r="82" spans="1:13" x14ac:dyDescent="0.25">
      <c r="A82" s="1" t="s">
        <v>67</v>
      </c>
      <c r="B82" s="1" t="s">
        <v>324</v>
      </c>
      <c r="C82" s="1" t="s">
        <v>1429</v>
      </c>
      <c r="D82" s="1" t="s">
        <v>337</v>
      </c>
      <c r="E82" s="1" t="s">
        <v>16</v>
      </c>
      <c r="F82" s="1" t="s">
        <v>332</v>
      </c>
      <c r="G82" s="1" t="s">
        <v>684</v>
      </c>
      <c r="H82" s="1" t="s">
        <v>570</v>
      </c>
      <c r="I82" s="1" t="s">
        <v>1037</v>
      </c>
      <c r="J82" s="1" t="s">
        <v>319</v>
      </c>
      <c r="K82" s="1" t="s">
        <v>578</v>
      </c>
      <c r="L82" s="5">
        <v>1800000</v>
      </c>
      <c r="M82" s="1" t="s">
        <v>317</v>
      </c>
    </row>
    <row r="83" spans="1:13" x14ac:dyDescent="0.25">
      <c r="A83" s="1" t="s">
        <v>53</v>
      </c>
      <c r="B83" s="1" t="s">
        <v>376</v>
      </c>
      <c r="C83" s="1" t="s">
        <v>2235</v>
      </c>
      <c r="D83" s="1" t="s">
        <v>337</v>
      </c>
      <c r="E83" s="1" t="s">
        <v>16</v>
      </c>
      <c r="F83" s="1" t="s">
        <v>1107</v>
      </c>
      <c r="G83" s="1" t="s">
        <v>580</v>
      </c>
      <c r="H83" s="1" t="s">
        <v>570</v>
      </c>
      <c r="I83" s="1" t="s">
        <v>1264</v>
      </c>
      <c r="J83" s="1" t="s">
        <v>344</v>
      </c>
      <c r="K83" s="1" t="s">
        <v>615</v>
      </c>
      <c r="L83" s="5">
        <v>125000</v>
      </c>
      <c r="M83" s="1" t="s">
        <v>348</v>
      </c>
    </row>
    <row r="84" spans="1:13" x14ac:dyDescent="0.25">
      <c r="A84" s="1" t="s">
        <v>97</v>
      </c>
      <c r="B84" s="1" t="s">
        <v>382</v>
      </c>
      <c r="C84" s="1" t="s">
        <v>755</v>
      </c>
      <c r="D84" s="1" t="s">
        <v>337</v>
      </c>
      <c r="E84" s="1" t="s">
        <v>16</v>
      </c>
      <c r="F84" s="1" t="s">
        <v>334</v>
      </c>
      <c r="G84" s="1" t="s">
        <v>569</v>
      </c>
      <c r="H84" s="1" t="s">
        <v>570</v>
      </c>
      <c r="I84" s="1" t="s">
        <v>756</v>
      </c>
      <c r="J84" s="1" t="s">
        <v>833</v>
      </c>
      <c r="K84" s="1" t="s">
        <v>615</v>
      </c>
      <c r="L84" s="5">
        <v>1500000</v>
      </c>
      <c r="M84" s="1" t="s">
        <v>334</v>
      </c>
    </row>
    <row r="85" spans="1:13" x14ac:dyDescent="0.25">
      <c r="A85" s="1" t="s">
        <v>136</v>
      </c>
      <c r="B85" s="1" t="s">
        <v>331</v>
      </c>
      <c r="C85" s="1" t="s">
        <v>649</v>
      </c>
      <c r="D85" s="1" t="s">
        <v>337</v>
      </c>
      <c r="E85" s="1" t="s">
        <v>16</v>
      </c>
      <c r="F85" s="1" t="s">
        <v>318</v>
      </c>
      <c r="G85" s="1" t="s">
        <v>646</v>
      </c>
      <c r="H85" s="1" t="s">
        <v>570</v>
      </c>
      <c r="I85" s="1" t="s">
        <v>650</v>
      </c>
      <c r="J85" s="1" t="s">
        <v>340</v>
      </c>
      <c r="K85" s="1" t="s">
        <v>651</v>
      </c>
      <c r="L85" s="5">
        <v>1000000</v>
      </c>
      <c r="M85" s="1" t="s">
        <v>318</v>
      </c>
    </row>
    <row r="86" spans="1:13" x14ac:dyDescent="0.25">
      <c r="A86" s="1" t="s">
        <v>309</v>
      </c>
      <c r="B86" s="1" t="s">
        <v>325</v>
      </c>
      <c r="C86" s="1" t="s">
        <v>2266</v>
      </c>
      <c r="D86" s="1" t="s">
        <v>337</v>
      </c>
      <c r="E86" s="1" t="s">
        <v>16</v>
      </c>
      <c r="F86" s="1" t="s">
        <v>339</v>
      </c>
      <c r="G86" s="1" t="s">
        <v>617</v>
      </c>
      <c r="H86" s="1" t="s">
        <v>570</v>
      </c>
      <c r="I86" s="1" t="s">
        <v>1095</v>
      </c>
      <c r="J86" s="1" t="s">
        <v>724</v>
      </c>
      <c r="K86" s="1" t="s">
        <v>573</v>
      </c>
      <c r="L86" s="5">
        <v>350000</v>
      </c>
      <c r="M86" s="1" t="s">
        <v>348</v>
      </c>
    </row>
    <row r="87" spans="1:13" x14ac:dyDescent="0.25">
      <c r="A87" s="1" t="s">
        <v>282</v>
      </c>
      <c r="B87" s="1" t="s">
        <v>326</v>
      </c>
      <c r="C87" s="1" t="s">
        <v>1280</v>
      </c>
      <c r="D87" s="1" t="s">
        <v>337</v>
      </c>
      <c r="E87" s="1" t="s">
        <v>420</v>
      </c>
      <c r="F87" s="1" t="s">
        <v>1281</v>
      </c>
      <c r="G87" s="1" t="s">
        <v>678</v>
      </c>
      <c r="H87" s="1" t="s">
        <v>570</v>
      </c>
      <c r="I87" s="1" t="s">
        <v>1170</v>
      </c>
      <c r="J87" s="1" t="s">
        <v>1282</v>
      </c>
      <c r="K87" s="1" t="s">
        <v>573</v>
      </c>
      <c r="L87" s="5">
        <v>50000</v>
      </c>
      <c r="M87" s="1" t="s">
        <v>339</v>
      </c>
    </row>
    <row r="88" spans="1:13" x14ac:dyDescent="0.25">
      <c r="A88" s="1" t="s">
        <v>471</v>
      </c>
      <c r="B88" s="1" t="s">
        <v>328</v>
      </c>
      <c r="C88" s="1" t="s">
        <v>1114</v>
      </c>
      <c r="D88" s="1" t="s">
        <v>479</v>
      </c>
      <c r="E88" s="1" t="s">
        <v>16</v>
      </c>
      <c r="F88" s="1" t="s">
        <v>338</v>
      </c>
      <c r="G88" s="1" t="s">
        <v>617</v>
      </c>
      <c r="H88" s="1" t="s">
        <v>605</v>
      </c>
      <c r="I88" s="1" t="s">
        <v>1057</v>
      </c>
      <c r="J88" s="1" t="s">
        <v>1115</v>
      </c>
      <c r="K88" s="1" t="s">
        <v>578</v>
      </c>
      <c r="L88" s="5">
        <v>350000</v>
      </c>
      <c r="M88" s="1" t="s">
        <v>338</v>
      </c>
    </row>
    <row r="89" spans="1:13" x14ac:dyDescent="0.25">
      <c r="A89" s="1" t="s">
        <v>196</v>
      </c>
      <c r="B89" s="1" t="s">
        <v>331</v>
      </c>
      <c r="C89" s="1" t="s">
        <v>876</v>
      </c>
      <c r="D89" s="1" t="s">
        <v>337</v>
      </c>
      <c r="E89" s="1" t="s">
        <v>392</v>
      </c>
      <c r="F89" s="1" t="s">
        <v>332</v>
      </c>
      <c r="G89" s="1" t="s">
        <v>702</v>
      </c>
      <c r="H89" s="1" t="s">
        <v>586</v>
      </c>
      <c r="I89" s="1" t="s">
        <v>877</v>
      </c>
      <c r="J89" s="1" t="s">
        <v>878</v>
      </c>
      <c r="K89" s="1" t="s">
        <v>578</v>
      </c>
      <c r="L89" s="5">
        <v>1000000</v>
      </c>
      <c r="M89" s="1" t="s">
        <v>332</v>
      </c>
    </row>
    <row r="90" spans="1:13" x14ac:dyDescent="0.25">
      <c r="A90" s="1" t="s">
        <v>161</v>
      </c>
      <c r="B90" s="1" t="s">
        <v>382</v>
      </c>
      <c r="C90" s="1" t="s">
        <v>988</v>
      </c>
      <c r="D90" s="1" t="s">
        <v>384</v>
      </c>
      <c r="E90" s="1" t="s">
        <v>16</v>
      </c>
      <c r="F90" s="1" t="s">
        <v>341</v>
      </c>
      <c r="G90" s="1" t="s">
        <v>675</v>
      </c>
      <c r="H90" s="1" t="s">
        <v>570</v>
      </c>
      <c r="I90" s="1" t="s">
        <v>597</v>
      </c>
      <c r="J90" s="1" t="s">
        <v>989</v>
      </c>
      <c r="K90" s="1" t="s">
        <v>578</v>
      </c>
      <c r="L90" s="5">
        <v>600000</v>
      </c>
      <c r="M90" s="1" t="s">
        <v>341</v>
      </c>
    </row>
    <row r="91" spans="1:13" x14ac:dyDescent="0.25">
      <c r="A91" s="1" t="s">
        <v>137</v>
      </c>
      <c r="B91" s="1" t="s">
        <v>326</v>
      </c>
      <c r="C91" s="1" t="s">
        <v>696</v>
      </c>
      <c r="D91" s="1" t="s">
        <v>342</v>
      </c>
      <c r="E91" s="1" t="s">
        <v>16</v>
      </c>
      <c r="F91" s="1" t="s">
        <v>697</v>
      </c>
      <c r="G91" s="1" t="s">
        <v>660</v>
      </c>
      <c r="H91" s="1" t="s">
        <v>570</v>
      </c>
      <c r="I91" s="3">
        <v>44634</v>
      </c>
      <c r="J91" s="1" t="s">
        <v>698</v>
      </c>
      <c r="K91" s="1" t="s">
        <v>578</v>
      </c>
      <c r="L91" s="5">
        <v>4500000</v>
      </c>
      <c r="M91" s="1" t="s">
        <v>318</v>
      </c>
    </row>
    <row r="92" spans="1:13" x14ac:dyDescent="0.25">
      <c r="A92" s="1" t="s">
        <v>495</v>
      </c>
      <c r="B92" s="1" t="s">
        <v>382</v>
      </c>
      <c r="C92" s="1" t="s">
        <v>1692</v>
      </c>
      <c r="D92" s="1" t="s">
        <v>337</v>
      </c>
      <c r="E92" s="1" t="s">
        <v>16</v>
      </c>
      <c r="F92" s="1" t="s">
        <v>1693</v>
      </c>
      <c r="G92" s="1" t="s">
        <v>585</v>
      </c>
      <c r="H92" s="1" t="s">
        <v>605</v>
      </c>
      <c r="I92" s="1" t="s">
        <v>592</v>
      </c>
      <c r="J92" s="1" t="s">
        <v>338</v>
      </c>
      <c r="K92" s="1" t="s">
        <v>658</v>
      </c>
      <c r="L92" s="5" t="s">
        <v>16</v>
      </c>
      <c r="M92" s="1" t="s">
        <v>361</v>
      </c>
    </row>
    <row r="93" spans="1:13" x14ac:dyDescent="0.25">
      <c r="A93" s="1" t="s">
        <v>1676</v>
      </c>
      <c r="B93" s="1" t="s">
        <v>0</v>
      </c>
      <c r="C93" s="1" t="s">
        <v>1677</v>
      </c>
      <c r="D93" s="1" t="s">
        <v>337</v>
      </c>
      <c r="E93" s="1" t="s">
        <v>16</v>
      </c>
      <c r="F93" s="1" t="s">
        <v>1468</v>
      </c>
      <c r="G93" s="1" t="s">
        <v>1158</v>
      </c>
      <c r="H93" s="1" t="s">
        <v>16</v>
      </c>
      <c r="I93" s="1" t="s">
        <v>1678</v>
      </c>
      <c r="J93" s="1" t="s">
        <v>1672</v>
      </c>
      <c r="K93" s="1" t="s">
        <v>615</v>
      </c>
      <c r="L93" s="5" t="s">
        <v>16</v>
      </c>
      <c r="M93" s="1" t="s">
        <v>361</v>
      </c>
    </row>
    <row r="94" spans="1:13" x14ac:dyDescent="0.25">
      <c r="A94" s="1" t="s">
        <v>191</v>
      </c>
      <c r="B94" s="1" t="s">
        <v>382</v>
      </c>
      <c r="C94" s="1" t="s">
        <v>868</v>
      </c>
      <c r="D94" s="1" t="s">
        <v>366</v>
      </c>
      <c r="E94" s="1" t="s">
        <v>480</v>
      </c>
      <c r="F94" s="1" t="s">
        <v>332</v>
      </c>
      <c r="G94" s="1" t="s">
        <v>609</v>
      </c>
      <c r="H94" s="1" t="s">
        <v>16</v>
      </c>
      <c r="I94" s="1" t="s">
        <v>869</v>
      </c>
      <c r="J94" s="1" t="s">
        <v>870</v>
      </c>
      <c r="K94" s="1" t="s">
        <v>578</v>
      </c>
      <c r="L94" s="5">
        <v>650000</v>
      </c>
      <c r="M94" s="1" t="s">
        <v>332</v>
      </c>
    </row>
    <row r="95" spans="1:13" x14ac:dyDescent="0.25">
      <c r="A95" s="1" t="s">
        <v>78</v>
      </c>
      <c r="B95" s="1" t="s">
        <v>382</v>
      </c>
      <c r="C95" s="1" t="s">
        <v>1679</v>
      </c>
      <c r="D95" s="1" t="s">
        <v>366</v>
      </c>
      <c r="E95" s="1" t="s">
        <v>16</v>
      </c>
      <c r="F95" s="1" t="s">
        <v>845</v>
      </c>
      <c r="G95" s="1" t="s">
        <v>722</v>
      </c>
      <c r="H95" s="1" t="s">
        <v>605</v>
      </c>
      <c r="I95" s="1" t="s">
        <v>1680</v>
      </c>
      <c r="J95" s="1" t="s">
        <v>1564</v>
      </c>
      <c r="K95" s="1" t="s">
        <v>578</v>
      </c>
      <c r="L95" s="5">
        <v>400000</v>
      </c>
      <c r="M95" s="1" t="s">
        <v>361</v>
      </c>
    </row>
    <row r="96" spans="1:13" x14ac:dyDescent="0.25">
      <c r="A96" s="1" t="s">
        <v>387</v>
      </c>
      <c r="B96" s="1" t="s">
        <v>357</v>
      </c>
      <c r="C96" s="1" t="s">
        <v>1696</v>
      </c>
      <c r="D96" s="1" t="s">
        <v>346</v>
      </c>
      <c r="E96" s="1" t="s">
        <v>388</v>
      </c>
      <c r="F96" s="1" t="s">
        <v>361</v>
      </c>
      <c r="G96" s="1" t="s">
        <v>656</v>
      </c>
      <c r="H96" s="1" t="s">
        <v>586</v>
      </c>
      <c r="I96" s="1" t="s">
        <v>772</v>
      </c>
      <c r="J96" s="1" t="s">
        <v>1697</v>
      </c>
      <c r="K96" s="1" t="s">
        <v>615</v>
      </c>
      <c r="L96" s="5">
        <v>850000</v>
      </c>
      <c r="M96" s="1" t="s">
        <v>361</v>
      </c>
    </row>
    <row r="97" spans="1:13" x14ac:dyDescent="0.25">
      <c r="A97" s="1" t="s">
        <v>496</v>
      </c>
      <c r="B97" s="1" t="s">
        <v>382</v>
      </c>
      <c r="C97" s="1" t="s">
        <v>1891</v>
      </c>
      <c r="D97" s="1" t="s">
        <v>497</v>
      </c>
      <c r="E97" s="1" t="s">
        <v>16</v>
      </c>
      <c r="F97" s="1" t="s">
        <v>1130</v>
      </c>
      <c r="G97" s="1" t="s">
        <v>596</v>
      </c>
      <c r="H97" s="1" t="s">
        <v>605</v>
      </c>
      <c r="I97" s="1" t="s">
        <v>1892</v>
      </c>
      <c r="J97" s="1" t="s">
        <v>844</v>
      </c>
      <c r="K97" s="1" t="s">
        <v>615</v>
      </c>
      <c r="L97" s="5">
        <v>350000</v>
      </c>
      <c r="M97" s="1" t="s">
        <v>319</v>
      </c>
    </row>
    <row r="98" spans="1:13" x14ac:dyDescent="0.25">
      <c r="A98" s="1" t="s">
        <v>240</v>
      </c>
      <c r="B98" s="1" t="s">
        <v>325</v>
      </c>
      <c r="C98" s="1" t="s">
        <v>2031</v>
      </c>
      <c r="D98" s="1" t="s">
        <v>333</v>
      </c>
      <c r="E98" s="1" t="s">
        <v>16</v>
      </c>
      <c r="F98" s="1" t="s">
        <v>345</v>
      </c>
      <c r="G98" s="1" t="s">
        <v>684</v>
      </c>
      <c r="H98" s="1" t="s">
        <v>570</v>
      </c>
      <c r="I98" s="1" t="s">
        <v>770</v>
      </c>
      <c r="J98" s="1" t="s">
        <v>2032</v>
      </c>
      <c r="K98" s="1" t="s">
        <v>615</v>
      </c>
      <c r="L98" s="5">
        <v>200000</v>
      </c>
      <c r="M98" s="1" t="s">
        <v>345</v>
      </c>
    </row>
    <row r="99" spans="1:13" x14ac:dyDescent="0.25">
      <c r="A99" s="1" t="s">
        <v>124</v>
      </c>
      <c r="B99" s="1" t="s">
        <v>0</v>
      </c>
      <c r="C99" s="1" t="s">
        <v>574</v>
      </c>
      <c r="D99" s="1" t="s">
        <v>337</v>
      </c>
      <c r="E99" s="1" t="s">
        <v>16</v>
      </c>
      <c r="F99" s="1" t="s">
        <v>318</v>
      </c>
      <c r="G99" s="1" t="s">
        <v>575</v>
      </c>
      <c r="H99" s="1" t="s">
        <v>16</v>
      </c>
      <c r="I99" s="1" t="s">
        <v>576</v>
      </c>
      <c r="J99" s="1" t="s">
        <v>577</v>
      </c>
      <c r="K99" s="1" t="s">
        <v>578</v>
      </c>
      <c r="L99" s="5">
        <v>800000</v>
      </c>
      <c r="M99" s="1" t="s">
        <v>318</v>
      </c>
    </row>
    <row r="100" spans="1:13" x14ac:dyDescent="0.25">
      <c r="A100" s="1" t="s">
        <v>298</v>
      </c>
      <c r="B100" s="1" t="s">
        <v>325</v>
      </c>
      <c r="C100" s="1" t="s">
        <v>1855</v>
      </c>
      <c r="D100" s="1" t="s">
        <v>554</v>
      </c>
      <c r="E100" s="1" t="s">
        <v>16</v>
      </c>
      <c r="F100" s="1" t="s">
        <v>340</v>
      </c>
      <c r="G100" s="1" t="s">
        <v>684</v>
      </c>
      <c r="H100" s="1" t="s">
        <v>570</v>
      </c>
      <c r="I100" s="1" t="s">
        <v>1452</v>
      </c>
      <c r="J100" s="1" t="s">
        <v>1856</v>
      </c>
      <c r="K100" s="1" t="s">
        <v>615</v>
      </c>
      <c r="L100" s="5">
        <v>350000</v>
      </c>
      <c r="M100" s="1" t="s">
        <v>340</v>
      </c>
    </row>
    <row r="101" spans="1:13" x14ac:dyDescent="0.25">
      <c r="A101" s="1" t="s">
        <v>112</v>
      </c>
      <c r="B101" s="1" t="s">
        <v>328</v>
      </c>
      <c r="C101" s="1" t="s">
        <v>1111</v>
      </c>
      <c r="D101" s="1" t="s">
        <v>347</v>
      </c>
      <c r="E101" s="1" t="s">
        <v>16</v>
      </c>
      <c r="F101" s="1" t="s">
        <v>1112</v>
      </c>
      <c r="G101" s="1" t="s">
        <v>684</v>
      </c>
      <c r="H101" s="1" t="s">
        <v>570</v>
      </c>
      <c r="I101" s="1" t="s">
        <v>1113</v>
      </c>
      <c r="J101" s="1" t="s">
        <v>724</v>
      </c>
      <c r="K101" s="1" t="s">
        <v>573</v>
      </c>
      <c r="L101" s="5">
        <v>500000</v>
      </c>
      <c r="M101" s="1" t="s">
        <v>338</v>
      </c>
    </row>
    <row r="102" spans="1:13" x14ac:dyDescent="0.25">
      <c r="A102" s="1" t="s">
        <v>113</v>
      </c>
      <c r="B102" s="1" t="s">
        <v>326</v>
      </c>
      <c r="C102" s="1" t="s">
        <v>1103</v>
      </c>
      <c r="D102" s="1" t="s">
        <v>370</v>
      </c>
      <c r="E102" s="1" t="s">
        <v>390</v>
      </c>
      <c r="F102" s="1" t="s">
        <v>338</v>
      </c>
      <c r="G102" s="1" t="s">
        <v>641</v>
      </c>
      <c r="H102" s="1" t="s">
        <v>586</v>
      </c>
      <c r="I102" s="1" t="s">
        <v>1104</v>
      </c>
      <c r="J102" s="1" t="s">
        <v>1105</v>
      </c>
      <c r="K102" s="1" t="s">
        <v>615</v>
      </c>
      <c r="L102" s="5">
        <v>1000000</v>
      </c>
      <c r="M102" s="1" t="s">
        <v>338</v>
      </c>
    </row>
    <row r="103" spans="1:13" x14ac:dyDescent="0.25">
      <c r="A103" s="1" t="s">
        <v>146</v>
      </c>
      <c r="B103" s="1" t="s">
        <v>382</v>
      </c>
      <c r="C103" s="1" t="s">
        <v>1157</v>
      </c>
      <c r="D103" s="1" t="s">
        <v>384</v>
      </c>
      <c r="E103" s="1" t="s">
        <v>16</v>
      </c>
      <c r="F103" s="1" t="s">
        <v>344</v>
      </c>
      <c r="G103" s="1" t="s">
        <v>1158</v>
      </c>
      <c r="H103" s="1" t="s">
        <v>570</v>
      </c>
      <c r="I103" s="1" t="s">
        <v>1159</v>
      </c>
      <c r="J103" s="1" t="s">
        <v>568</v>
      </c>
      <c r="K103" s="1" t="s">
        <v>578</v>
      </c>
      <c r="L103" s="5">
        <v>300000</v>
      </c>
      <c r="M103" s="1" t="s">
        <v>344</v>
      </c>
    </row>
    <row r="104" spans="1:13" x14ac:dyDescent="0.25">
      <c r="A104" s="1" t="s">
        <v>31</v>
      </c>
      <c r="B104" s="1" t="s">
        <v>352</v>
      </c>
      <c r="C104" s="1" t="s">
        <v>1550</v>
      </c>
      <c r="D104" s="1" t="s">
        <v>366</v>
      </c>
      <c r="E104" s="1" t="s">
        <v>16</v>
      </c>
      <c r="F104" s="1" t="s">
        <v>23</v>
      </c>
      <c r="G104" s="1" t="s">
        <v>684</v>
      </c>
      <c r="H104" s="1" t="s">
        <v>570</v>
      </c>
      <c r="I104" s="1" t="s">
        <v>1499</v>
      </c>
      <c r="J104" s="1" t="s">
        <v>341</v>
      </c>
      <c r="K104" s="1" t="s">
        <v>615</v>
      </c>
      <c r="L104" s="5">
        <v>400000</v>
      </c>
      <c r="M104" s="1" t="s">
        <v>23</v>
      </c>
    </row>
    <row r="105" spans="1:13" x14ac:dyDescent="0.25">
      <c r="A105" s="1" t="s">
        <v>396</v>
      </c>
      <c r="B105" s="1" t="s">
        <v>331</v>
      </c>
      <c r="C105" s="1" t="s">
        <v>1007</v>
      </c>
      <c r="D105" s="1" t="s">
        <v>337</v>
      </c>
      <c r="E105" s="1" t="s">
        <v>16</v>
      </c>
      <c r="F105" s="1" t="s">
        <v>341</v>
      </c>
      <c r="G105" s="1" t="s">
        <v>702</v>
      </c>
      <c r="H105" s="1" t="s">
        <v>570</v>
      </c>
      <c r="I105" s="1" t="s">
        <v>1008</v>
      </c>
      <c r="J105" s="1" t="s">
        <v>23</v>
      </c>
      <c r="K105" s="1" t="s">
        <v>615</v>
      </c>
      <c r="L105" s="5">
        <v>1400000</v>
      </c>
      <c r="M105" s="1" t="s">
        <v>341</v>
      </c>
    </row>
    <row r="106" spans="1:13" x14ac:dyDescent="0.25">
      <c r="A106" s="1" t="s">
        <v>355</v>
      </c>
      <c r="B106" s="1" t="s">
        <v>324</v>
      </c>
      <c r="C106" s="1" t="s">
        <v>2256</v>
      </c>
      <c r="D106" s="1" t="s">
        <v>337</v>
      </c>
      <c r="E106" s="1" t="s">
        <v>16</v>
      </c>
      <c r="F106" s="1" t="s">
        <v>348</v>
      </c>
      <c r="G106" s="1" t="s">
        <v>769</v>
      </c>
      <c r="H106" s="1" t="s">
        <v>605</v>
      </c>
      <c r="I106" s="1" t="s">
        <v>2257</v>
      </c>
      <c r="J106" s="1" t="s">
        <v>345</v>
      </c>
      <c r="K106" s="1" t="s">
        <v>615</v>
      </c>
      <c r="L106" s="5">
        <v>450000</v>
      </c>
      <c r="M106" s="1" t="s">
        <v>348</v>
      </c>
    </row>
    <row r="107" spans="1:13" x14ac:dyDescent="0.25">
      <c r="A107" s="1" t="s">
        <v>176</v>
      </c>
      <c r="B107" s="1" t="s">
        <v>376</v>
      </c>
      <c r="C107" s="1" t="s">
        <v>1324</v>
      </c>
      <c r="D107" s="1" t="s">
        <v>337</v>
      </c>
      <c r="E107" s="1" t="s">
        <v>16</v>
      </c>
      <c r="F107" s="1" t="s">
        <v>315</v>
      </c>
      <c r="G107" s="1" t="s">
        <v>660</v>
      </c>
      <c r="H107" s="1" t="s">
        <v>570</v>
      </c>
      <c r="I107" s="1" t="s">
        <v>978</v>
      </c>
      <c r="J107" s="1" t="s">
        <v>632</v>
      </c>
      <c r="K107" s="1" t="s">
        <v>578</v>
      </c>
      <c r="L107" s="5">
        <v>500000</v>
      </c>
      <c r="M107" s="1" t="s">
        <v>315</v>
      </c>
    </row>
    <row r="108" spans="1:13" x14ac:dyDescent="0.25">
      <c r="A108" s="1" t="s">
        <v>329</v>
      </c>
      <c r="B108" s="1" t="s">
        <v>328</v>
      </c>
      <c r="C108" s="1" t="s">
        <v>1199</v>
      </c>
      <c r="D108" s="1" t="s">
        <v>337</v>
      </c>
      <c r="E108" s="1" t="s">
        <v>16</v>
      </c>
      <c r="F108" s="1" t="s">
        <v>344</v>
      </c>
      <c r="G108" s="1" t="s">
        <v>678</v>
      </c>
      <c r="H108" s="1" t="s">
        <v>586</v>
      </c>
      <c r="I108" s="1" t="s">
        <v>1200</v>
      </c>
      <c r="J108" s="1" t="s">
        <v>1201</v>
      </c>
      <c r="K108" s="1" t="s">
        <v>578</v>
      </c>
      <c r="L108" s="5">
        <v>1400000</v>
      </c>
      <c r="M108" s="1" t="s">
        <v>344</v>
      </c>
    </row>
    <row r="109" spans="1:13" x14ac:dyDescent="0.25">
      <c r="A109" s="1" t="s">
        <v>271</v>
      </c>
      <c r="B109" s="1" t="s">
        <v>382</v>
      </c>
      <c r="C109" s="1" t="s">
        <v>1232</v>
      </c>
      <c r="D109" s="1" t="s">
        <v>337</v>
      </c>
      <c r="E109" s="1" t="s">
        <v>16</v>
      </c>
      <c r="F109" s="1" t="s">
        <v>1069</v>
      </c>
      <c r="G109" s="1" t="s">
        <v>627</v>
      </c>
      <c r="H109" s="1" t="s">
        <v>570</v>
      </c>
      <c r="I109" s="1" t="s">
        <v>597</v>
      </c>
      <c r="J109" s="1" t="s">
        <v>1233</v>
      </c>
      <c r="K109" s="1" t="s">
        <v>578</v>
      </c>
      <c r="L109" s="5">
        <v>1000000</v>
      </c>
      <c r="M109" s="1" t="s">
        <v>339</v>
      </c>
    </row>
    <row r="110" spans="1:13" x14ac:dyDescent="0.25">
      <c r="A110" s="1" t="s">
        <v>291</v>
      </c>
      <c r="B110" s="1" t="s">
        <v>382</v>
      </c>
      <c r="C110" s="1" t="s">
        <v>1798</v>
      </c>
      <c r="D110" s="1" t="s">
        <v>337</v>
      </c>
      <c r="E110" s="1" t="s">
        <v>16</v>
      </c>
      <c r="F110" s="1" t="s">
        <v>1282</v>
      </c>
      <c r="G110" s="1" t="s">
        <v>580</v>
      </c>
      <c r="H110" s="1" t="s">
        <v>16</v>
      </c>
      <c r="I110" s="1" t="s">
        <v>1799</v>
      </c>
      <c r="J110" s="1" t="s">
        <v>1282</v>
      </c>
      <c r="K110" s="1" t="s">
        <v>573</v>
      </c>
      <c r="L110" s="5">
        <v>50000</v>
      </c>
      <c r="M110" s="1" t="s">
        <v>340</v>
      </c>
    </row>
    <row r="111" spans="1:13" x14ac:dyDescent="0.25">
      <c r="A111" s="1" t="s">
        <v>205</v>
      </c>
      <c r="B111" s="1" t="s">
        <v>0</v>
      </c>
      <c r="C111" s="1" t="s">
        <v>1882</v>
      </c>
      <c r="D111" s="1" t="s">
        <v>337</v>
      </c>
      <c r="E111" s="1" t="s">
        <v>16</v>
      </c>
      <c r="F111" s="1" t="s">
        <v>964</v>
      </c>
      <c r="G111" s="1" t="s">
        <v>585</v>
      </c>
      <c r="H111" s="1" t="s">
        <v>570</v>
      </c>
      <c r="I111" s="1" t="s">
        <v>610</v>
      </c>
      <c r="J111" s="1" t="s">
        <v>1468</v>
      </c>
      <c r="K111" s="1" t="s">
        <v>573</v>
      </c>
      <c r="L111" s="5">
        <v>100000</v>
      </c>
      <c r="M111" s="1" t="s">
        <v>319</v>
      </c>
    </row>
    <row r="112" spans="1:13" x14ac:dyDescent="0.25">
      <c r="A112" s="1" t="s">
        <v>279</v>
      </c>
      <c r="B112" s="1" t="s">
        <v>330</v>
      </c>
      <c r="C112" s="1" t="s">
        <v>1258</v>
      </c>
      <c r="D112" s="1" t="s">
        <v>337</v>
      </c>
      <c r="E112" s="1" t="s">
        <v>16</v>
      </c>
      <c r="F112" s="1" t="s">
        <v>317</v>
      </c>
      <c r="G112" s="1" t="s">
        <v>617</v>
      </c>
      <c r="H112" s="1" t="s">
        <v>570</v>
      </c>
      <c r="I112" s="1" t="s">
        <v>913</v>
      </c>
      <c r="J112" s="1" t="s">
        <v>912</v>
      </c>
      <c r="K112" s="1" t="s">
        <v>578</v>
      </c>
      <c r="L112" s="5">
        <v>600000</v>
      </c>
      <c r="M112" s="1" t="s">
        <v>339</v>
      </c>
    </row>
    <row r="113" spans="1:13" x14ac:dyDescent="0.25">
      <c r="A113" s="1" t="s">
        <v>353</v>
      </c>
      <c r="B113" s="1" t="s">
        <v>324</v>
      </c>
      <c r="C113" s="1" t="s">
        <v>1263</v>
      </c>
      <c r="D113" s="1" t="s">
        <v>337</v>
      </c>
      <c r="E113" s="1" t="s">
        <v>16</v>
      </c>
      <c r="F113" s="1" t="s">
        <v>339</v>
      </c>
      <c r="G113" s="1" t="s">
        <v>660</v>
      </c>
      <c r="H113" s="1" t="s">
        <v>605</v>
      </c>
      <c r="I113" s="1" t="s">
        <v>1264</v>
      </c>
      <c r="J113" s="1" t="s">
        <v>577</v>
      </c>
      <c r="K113" s="1" t="s">
        <v>573</v>
      </c>
      <c r="L113" s="5">
        <v>650000</v>
      </c>
      <c r="M113" s="1" t="s">
        <v>339</v>
      </c>
    </row>
    <row r="114" spans="1:13" x14ac:dyDescent="0.25">
      <c r="A114" s="1" t="s">
        <v>1219</v>
      </c>
      <c r="B114" s="1" t="s">
        <v>0</v>
      </c>
      <c r="C114" s="1" t="s">
        <v>1220</v>
      </c>
      <c r="D114" s="1" t="s">
        <v>337</v>
      </c>
      <c r="E114" s="1" t="s">
        <v>16</v>
      </c>
      <c r="F114" s="1" t="s">
        <v>1221</v>
      </c>
      <c r="G114" s="1" t="s">
        <v>627</v>
      </c>
      <c r="H114" s="1" t="s">
        <v>570</v>
      </c>
      <c r="I114" s="1" t="s">
        <v>1044</v>
      </c>
      <c r="J114" s="1" t="s">
        <v>361</v>
      </c>
      <c r="K114" s="1" t="s">
        <v>573</v>
      </c>
      <c r="L114" s="5">
        <v>200000</v>
      </c>
      <c r="M114" s="1" t="s">
        <v>339</v>
      </c>
    </row>
    <row r="115" spans="1:13" x14ac:dyDescent="0.25">
      <c r="A115" s="1" t="s">
        <v>511</v>
      </c>
      <c r="B115" s="1" t="s">
        <v>376</v>
      </c>
      <c r="C115" s="1" t="s">
        <v>1255</v>
      </c>
      <c r="D115" s="1" t="s">
        <v>337</v>
      </c>
      <c r="E115" s="1" t="s">
        <v>16</v>
      </c>
      <c r="F115" s="1" t="s">
        <v>348</v>
      </c>
      <c r="G115" s="1" t="s">
        <v>675</v>
      </c>
      <c r="H115" s="1" t="s">
        <v>570</v>
      </c>
      <c r="I115" s="1" t="s">
        <v>647</v>
      </c>
      <c r="J115" s="1" t="s">
        <v>1107</v>
      </c>
      <c r="K115" s="1" t="s">
        <v>615</v>
      </c>
      <c r="L115" s="5">
        <v>150000</v>
      </c>
      <c r="M115" s="1" t="s">
        <v>339</v>
      </c>
    </row>
    <row r="116" spans="1:13" x14ac:dyDescent="0.25">
      <c r="A116" s="1" t="s">
        <v>1545</v>
      </c>
      <c r="B116" s="1" t="s">
        <v>330</v>
      </c>
      <c r="C116" s="1" t="s">
        <v>1546</v>
      </c>
      <c r="D116" s="1" t="s">
        <v>346</v>
      </c>
      <c r="E116" s="1" t="s">
        <v>16</v>
      </c>
      <c r="F116" s="1" t="s">
        <v>1547</v>
      </c>
      <c r="G116" s="1" t="s">
        <v>633</v>
      </c>
      <c r="H116" s="1" t="s">
        <v>570</v>
      </c>
      <c r="I116" s="1" t="s">
        <v>1313</v>
      </c>
      <c r="J116" s="1" t="s">
        <v>1548</v>
      </c>
      <c r="K116" s="1" t="s">
        <v>615</v>
      </c>
      <c r="L116" s="5">
        <v>200000</v>
      </c>
      <c r="M116" s="1" t="s">
        <v>23</v>
      </c>
    </row>
    <row r="117" spans="1:13" x14ac:dyDescent="0.25">
      <c r="A117" s="1" t="s">
        <v>71</v>
      </c>
      <c r="B117" s="1" t="s">
        <v>324</v>
      </c>
      <c r="C117" s="1" t="s">
        <v>1435</v>
      </c>
      <c r="D117" s="1" t="s">
        <v>333</v>
      </c>
      <c r="E117" s="1" t="s">
        <v>16</v>
      </c>
      <c r="F117" s="1" t="s">
        <v>317</v>
      </c>
      <c r="G117" s="1" t="s">
        <v>810</v>
      </c>
      <c r="H117" s="1" t="s">
        <v>605</v>
      </c>
      <c r="I117" s="3">
        <v>44630</v>
      </c>
      <c r="J117" s="1" t="s">
        <v>1436</v>
      </c>
      <c r="K117" s="1" t="s">
        <v>615</v>
      </c>
      <c r="L117" s="5">
        <v>300000</v>
      </c>
      <c r="M117" s="1" t="s">
        <v>317</v>
      </c>
    </row>
    <row r="118" spans="1:13" x14ac:dyDescent="0.25">
      <c r="A118" s="1" t="s">
        <v>1733</v>
      </c>
      <c r="B118" s="1" t="s">
        <v>324</v>
      </c>
      <c r="C118" s="1" t="s">
        <v>1734</v>
      </c>
      <c r="D118" s="1" t="s">
        <v>333</v>
      </c>
      <c r="E118" s="1" t="s">
        <v>16</v>
      </c>
      <c r="F118" s="1" t="s">
        <v>1735</v>
      </c>
      <c r="G118" s="1" t="s">
        <v>641</v>
      </c>
      <c r="H118" s="1" t="s">
        <v>605</v>
      </c>
      <c r="I118" s="1" t="s">
        <v>618</v>
      </c>
      <c r="J118" s="1" t="s">
        <v>724</v>
      </c>
      <c r="K118" s="1" t="s">
        <v>573</v>
      </c>
      <c r="L118" s="5">
        <v>100000</v>
      </c>
      <c r="M118" s="1" t="s">
        <v>361</v>
      </c>
    </row>
    <row r="119" spans="1:13" x14ac:dyDescent="0.25">
      <c r="A119" s="1" t="s">
        <v>393</v>
      </c>
      <c r="B119" s="1" t="s">
        <v>324</v>
      </c>
      <c r="C119" s="1" t="s">
        <v>796</v>
      </c>
      <c r="D119" s="1" t="s">
        <v>333</v>
      </c>
      <c r="E119" s="1" t="s">
        <v>16</v>
      </c>
      <c r="F119" s="1" t="s">
        <v>852</v>
      </c>
      <c r="G119" s="1" t="s">
        <v>612</v>
      </c>
      <c r="H119" s="1" t="s">
        <v>16</v>
      </c>
      <c r="I119" s="1" t="s">
        <v>797</v>
      </c>
      <c r="J119" s="1" t="s">
        <v>853</v>
      </c>
      <c r="K119" s="1" t="s">
        <v>615</v>
      </c>
      <c r="L119" s="5">
        <v>800000</v>
      </c>
      <c r="M119" s="1" t="s">
        <v>334</v>
      </c>
    </row>
    <row r="120" spans="1:13" x14ac:dyDescent="0.25">
      <c r="A120" s="1" t="s">
        <v>58</v>
      </c>
      <c r="B120" s="1" t="s">
        <v>0</v>
      </c>
      <c r="C120" s="1" t="s">
        <v>1377</v>
      </c>
      <c r="D120" s="1" t="s">
        <v>337</v>
      </c>
      <c r="E120" s="1" t="s">
        <v>16</v>
      </c>
      <c r="F120" s="1" t="s">
        <v>317</v>
      </c>
      <c r="G120" s="1" t="s">
        <v>585</v>
      </c>
      <c r="H120" s="1" t="s">
        <v>16</v>
      </c>
      <c r="I120" s="3">
        <v>43181</v>
      </c>
      <c r="J120" s="1" t="s">
        <v>1378</v>
      </c>
      <c r="K120" s="1" t="s">
        <v>573</v>
      </c>
      <c r="L120" s="5">
        <v>300000</v>
      </c>
      <c r="M120" s="1" t="s">
        <v>317</v>
      </c>
    </row>
    <row r="121" spans="1:13" x14ac:dyDescent="0.25">
      <c r="A121" s="1" t="s">
        <v>1822</v>
      </c>
      <c r="B121" s="1" t="s">
        <v>331</v>
      </c>
      <c r="C121" s="1" t="s">
        <v>1823</v>
      </c>
      <c r="D121" s="1" t="s">
        <v>337</v>
      </c>
      <c r="E121" s="1" t="s">
        <v>16</v>
      </c>
      <c r="F121" s="1" t="s">
        <v>847</v>
      </c>
      <c r="G121" s="1" t="s">
        <v>775</v>
      </c>
      <c r="H121" s="1" t="s">
        <v>16</v>
      </c>
      <c r="I121" s="1" t="s">
        <v>1824</v>
      </c>
      <c r="J121" s="1" t="s">
        <v>1771</v>
      </c>
      <c r="K121" s="1" t="s">
        <v>573</v>
      </c>
      <c r="L121" s="5">
        <v>100000</v>
      </c>
      <c r="M121" s="1" t="s">
        <v>340</v>
      </c>
    </row>
    <row r="122" spans="1:13" x14ac:dyDescent="0.25">
      <c r="A122" s="1" t="s">
        <v>48</v>
      </c>
      <c r="B122" s="1" t="s">
        <v>357</v>
      </c>
      <c r="C122" s="1" t="s">
        <v>2172</v>
      </c>
      <c r="D122" s="1" t="s">
        <v>337</v>
      </c>
      <c r="E122" s="1" t="s">
        <v>347</v>
      </c>
      <c r="F122" s="1" t="s">
        <v>348</v>
      </c>
      <c r="G122" s="1" t="s">
        <v>709</v>
      </c>
      <c r="H122" s="1" t="s">
        <v>586</v>
      </c>
      <c r="I122" s="1" t="s">
        <v>1044</v>
      </c>
      <c r="J122" s="1" t="s">
        <v>701</v>
      </c>
      <c r="K122" s="1" t="s">
        <v>615</v>
      </c>
      <c r="L122" s="5">
        <v>100000</v>
      </c>
      <c r="M122" s="1" t="s">
        <v>348</v>
      </c>
    </row>
    <row r="123" spans="1:13" x14ac:dyDescent="0.25">
      <c r="A123" s="1" t="s">
        <v>1964</v>
      </c>
      <c r="B123" s="1" t="s">
        <v>382</v>
      </c>
      <c r="C123" s="1" t="s">
        <v>1965</v>
      </c>
      <c r="D123" s="1" t="s">
        <v>558</v>
      </c>
      <c r="E123" s="1" t="s">
        <v>16</v>
      </c>
      <c r="F123" s="1" t="s">
        <v>345</v>
      </c>
      <c r="G123" s="1" t="s">
        <v>722</v>
      </c>
      <c r="H123" s="1" t="s">
        <v>586</v>
      </c>
      <c r="I123" s="1" t="s">
        <v>869</v>
      </c>
      <c r="J123" s="1" t="s">
        <v>1966</v>
      </c>
      <c r="K123" s="1" t="s">
        <v>578</v>
      </c>
      <c r="L123" s="5">
        <v>250000</v>
      </c>
      <c r="M123" s="1" t="s">
        <v>345</v>
      </c>
    </row>
    <row r="124" spans="1:13" x14ac:dyDescent="0.25">
      <c r="A124" s="1" t="s">
        <v>469</v>
      </c>
      <c r="B124" s="1" t="s">
        <v>331</v>
      </c>
      <c r="C124" s="1" t="s">
        <v>1334</v>
      </c>
      <c r="D124" s="1" t="s">
        <v>337</v>
      </c>
      <c r="E124" s="1" t="s">
        <v>16</v>
      </c>
      <c r="F124" s="1" t="s">
        <v>315</v>
      </c>
      <c r="G124" s="1" t="s">
        <v>684</v>
      </c>
      <c r="H124" s="1" t="s">
        <v>570</v>
      </c>
      <c r="I124" s="1" t="s">
        <v>1335</v>
      </c>
      <c r="J124" s="1" t="s">
        <v>1336</v>
      </c>
      <c r="K124" s="1" t="s">
        <v>573</v>
      </c>
      <c r="L124" s="5">
        <v>150000</v>
      </c>
      <c r="M124" s="1" t="s">
        <v>315</v>
      </c>
    </row>
    <row r="125" spans="1:13" x14ac:dyDescent="0.25">
      <c r="A125" s="1" t="s">
        <v>2107</v>
      </c>
      <c r="B125" s="1" t="s">
        <v>328</v>
      </c>
      <c r="C125" s="1" t="s">
        <v>1537</v>
      </c>
      <c r="D125" s="1" t="s">
        <v>337</v>
      </c>
      <c r="E125" s="1" t="s">
        <v>16</v>
      </c>
      <c r="F125" s="1" t="s">
        <v>316</v>
      </c>
      <c r="G125" s="1" t="s">
        <v>702</v>
      </c>
      <c r="H125" s="1" t="s">
        <v>16</v>
      </c>
      <c r="I125" s="1" t="s">
        <v>1699</v>
      </c>
      <c r="J125" s="1" t="s">
        <v>1459</v>
      </c>
      <c r="K125" s="1" t="s">
        <v>573</v>
      </c>
      <c r="L125" s="5">
        <v>100000</v>
      </c>
      <c r="M125" s="1" t="s">
        <v>316</v>
      </c>
    </row>
    <row r="126" spans="1:13" x14ac:dyDescent="0.25">
      <c r="A126" s="1" t="s">
        <v>903</v>
      </c>
      <c r="B126" s="1" t="s">
        <v>328</v>
      </c>
      <c r="C126" s="1" t="s">
        <v>963</v>
      </c>
      <c r="D126" s="1" t="s">
        <v>337</v>
      </c>
      <c r="E126" s="1" t="s">
        <v>16</v>
      </c>
      <c r="F126" s="1" t="s">
        <v>964</v>
      </c>
      <c r="G126" s="1" t="s">
        <v>646</v>
      </c>
      <c r="H126" s="1" t="s">
        <v>570</v>
      </c>
      <c r="I126" s="1" t="s">
        <v>965</v>
      </c>
      <c r="J126" s="1" t="s">
        <v>731</v>
      </c>
      <c r="K126" s="1" t="s">
        <v>573</v>
      </c>
      <c r="L126" s="5">
        <v>400000</v>
      </c>
      <c r="M126" s="1" t="s">
        <v>332</v>
      </c>
    </row>
    <row r="127" spans="1:13" x14ac:dyDescent="0.25">
      <c r="A127" s="1" t="s">
        <v>903</v>
      </c>
      <c r="B127" s="1" t="s">
        <v>328</v>
      </c>
      <c r="C127" s="1" t="s">
        <v>963</v>
      </c>
      <c r="D127" s="1" t="s">
        <v>337</v>
      </c>
      <c r="E127" s="1" t="s">
        <v>16</v>
      </c>
      <c r="F127" s="1" t="s">
        <v>964</v>
      </c>
      <c r="G127" s="1" t="s">
        <v>646</v>
      </c>
      <c r="H127" s="1" t="s">
        <v>570</v>
      </c>
      <c r="I127" s="1" t="s">
        <v>879</v>
      </c>
      <c r="J127" s="1" t="s">
        <v>332</v>
      </c>
      <c r="K127" s="1" t="s">
        <v>573</v>
      </c>
      <c r="L127" s="5">
        <v>400000</v>
      </c>
      <c r="M127" s="1" t="s">
        <v>349</v>
      </c>
    </row>
    <row r="128" spans="1:13" x14ac:dyDescent="0.25">
      <c r="A128" s="1" t="s">
        <v>157</v>
      </c>
      <c r="B128" s="1" t="s">
        <v>0</v>
      </c>
      <c r="C128" s="1" t="s">
        <v>976</v>
      </c>
      <c r="D128" s="1" t="s">
        <v>364</v>
      </c>
      <c r="E128" s="1" t="s">
        <v>16</v>
      </c>
      <c r="F128" s="1" t="s">
        <v>341</v>
      </c>
      <c r="G128" s="1" t="s">
        <v>627</v>
      </c>
      <c r="H128" s="1" t="s">
        <v>16</v>
      </c>
      <c r="I128" s="1" t="s">
        <v>597</v>
      </c>
      <c r="J128" s="1" t="s">
        <v>844</v>
      </c>
      <c r="K128" s="1" t="s">
        <v>588</v>
      </c>
      <c r="L128" s="5">
        <v>1500000</v>
      </c>
      <c r="M128" s="1" t="s">
        <v>341</v>
      </c>
    </row>
    <row r="129" spans="1:13" x14ac:dyDescent="0.25">
      <c r="A129" s="1" t="s">
        <v>982</v>
      </c>
      <c r="B129" s="1" t="s">
        <v>0</v>
      </c>
      <c r="C129" s="1" t="s">
        <v>983</v>
      </c>
      <c r="D129" s="1" t="s">
        <v>337</v>
      </c>
      <c r="E129" s="1" t="s">
        <v>16</v>
      </c>
      <c r="F129" s="1" t="s">
        <v>984</v>
      </c>
      <c r="G129" s="1" t="s">
        <v>580</v>
      </c>
      <c r="H129" s="1" t="s">
        <v>16</v>
      </c>
      <c r="I129" s="1" t="s">
        <v>729</v>
      </c>
      <c r="J129" s="1" t="s">
        <v>985</v>
      </c>
      <c r="K129" s="1" t="s">
        <v>16</v>
      </c>
      <c r="L129" s="5" t="s">
        <v>16</v>
      </c>
      <c r="M129" s="1" t="s">
        <v>341</v>
      </c>
    </row>
    <row r="130" spans="1:13" x14ac:dyDescent="0.25">
      <c r="A130" s="1" t="s">
        <v>411</v>
      </c>
      <c r="B130" s="1" t="s">
        <v>376</v>
      </c>
      <c r="C130" s="1" t="s">
        <v>1401</v>
      </c>
      <c r="D130" s="1" t="s">
        <v>337</v>
      </c>
      <c r="E130" s="1" t="s">
        <v>16</v>
      </c>
      <c r="F130" s="1" t="s">
        <v>701</v>
      </c>
      <c r="G130" s="1" t="s">
        <v>617</v>
      </c>
      <c r="H130" s="1" t="s">
        <v>570</v>
      </c>
      <c r="I130" s="1" t="s">
        <v>1402</v>
      </c>
      <c r="J130" s="1" t="s">
        <v>1378</v>
      </c>
      <c r="K130" s="1" t="s">
        <v>573</v>
      </c>
      <c r="L130" s="5">
        <v>300000</v>
      </c>
      <c r="M130" s="1" t="s">
        <v>317</v>
      </c>
    </row>
    <row r="131" spans="1:13" x14ac:dyDescent="0.25">
      <c r="A131" s="1" t="s">
        <v>68</v>
      </c>
      <c r="B131" s="1" t="s">
        <v>324</v>
      </c>
      <c r="C131" s="1" t="s">
        <v>1431</v>
      </c>
      <c r="D131" s="1" t="s">
        <v>337</v>
      </c>
      <c r="E131" s="1" t="s">
        <v>16</v>
      </c>
      <c r="F131" s="1" t="s">
        <v>1432</v>
      </c>
      <c r="G131" s="1" t="s">
        <v>656</v>
      </c>
      <c r="H131" s="1" t="s">
        <v>605</v>
      </c>
      <c r="I131" s="1" t="s">
        <v>1381</v>
      </c>
      <c r="J131" s="1" t="s">
        <v>1422</v>
      </c>
      <c r="K131" s="1" t="s">
        <v>578</v>
      </c>
      <c r="L131" s="5">
        <v>500000</v>
      </c>
      <c r="M131" s="1" t="s">
        <v>317</v>
      </c>
    </row>
    <row r="132" spans="1:13" x14ac:dyDescent="0.25">
      <c r="A132" s="1" t="s">
        <v>3</v>
      </c>
      <c r="B132" s="1" t="s">
        <v>382</v>
      </c>
      <c r="C132" s="1" t="s">
        <v>2050</v>
      </c>
      <c r="D132" s="1" t="s">
        <v>453</v>
      </c>
      <c r="E132" s="1" t="s">
        <v>400</v>
      </c>
      <c r="F132" s="1" t="s">
        <v>2051</v>
      </c>
      <c r="G132" s="1" t="s">
        <v>580</v>
      </c>
      <c r="H132" s="1" t="s">
        <v>586</v>
      </c>
      <c r="I132" s="1" t="s">
        <v>634</v>
      </c>
      <c r="J132" s="1" t="s">
        <v>2052</v>
      </c>
      <c r="K132" s="1" t="s">
        <v>615</v>
      </c>
      <c r="L132" s="5">
        <v>150000</v>
      </c>
      <c r="M132" s="1" t="s">
        <v>316</v>
      </c>
    </row>
    <row r="133" spans="1:13" x14ac:dyDescent="0.25">
      <c r="A133" s="1" t="s">
        <v>27</v>
      </c>
      <c r="B133" s="1" t="s">
        <v>382</v>
      </c>
      <c r="C133" s="1" t="s">
        <v>1515</v>
      </c>
      <c r="D133" s="1" t="s">
        <v>362</v>
      </c>
      <c r="E133" s="1" t="s">
        <v>16</v>
      </c>
      <c r="F133" s="1" t="s">
        <v>23</v>
      </c>
      <c r="G133" s="1" t="s">
        <v>580</v>
      </c>
      <c r="H133" s="1" t="s">
        <v>570</v>
      </c>
      <c r="I133" s="1" t="s">
        <v>597</v>
      </c>
      <c r="J133" s="1" t="s">
        <v>1491</v>
      </c>
      <c r="K133" s="1" t="s">
        <v>615</v>
      </c>
      <c r="L133" s="5">
        <v>400000</v>
      </c>
      <c r="M133" s="1" t="s">
        <v>23</v>
      </c>
    </row>
    <row r="134" spans="1:13" x14ac:dyDescent="0.25">
      <c r="A134" s="1" t="s">
        <v>214</v>
      </c>
      <c r="B134" s="1" t="s">
        <v>330</v>
      </c>
      <c r="C134" s="1" t="s">
        <v>1908</v>
      </c>
      <c r="D134" s="1" t="s">
        <v>337</v>
      </c>
      <c r="E134" s="1" t="s">
        <v>1902</v>
      </c>
      <c r="F134" s="1" t="s">
        <v>1909</v>
      </c>
      <c r="G134" s="1" t="s">
        <v>656</v>
      </c>
      <c r="H134" s="1" t="s">
        <v>16</v>
      </c>
      <c r="I134" s="1" t="s">
        <v>1910</v>
      </c>
      <c r="J134" s="1" t="s">
        <v>1904</v>
      </c>
      <c r="K134" s="1" t="s">
        <v>1905</v>
      </c>
      <c r="L134" s="5">
        <v>25000</v>
      </c>
      <c r="M134" s="1" t="s">
        <v>319</v>
      </c>
    </row>
    <row r="135" spans="1:13" x14ac:dyDescent="0.25">
      <c r="A135" s="1" t="s">
        <v>109</v>
      </c>
      <c r="B135" s="1" t="s">
        <v>376</v>
      </c>
      <c r="C135" s="1" t="s">
        <v>1081</v>
      </c>
      <c r="D135" s="1" t="s">
        <v>384</v>
      </c>
      <c r="E135" s="1" t="s">
        <v>16</v>
      </c>
      <c r="F135" s="1" t="s">
        <v>338</v>
      </c>
      <c r="G135" s="1" t="s">
        <v>702</v>
      </c>
      <c r="H135" s="1" t="s">
        <v>570</v>
      </c>
      <c r="I135" s="1" t="s">
        <v>1082</v>
      </c>
      <c r="J135" s="1" t="s">
        <v>1083</v>
      </c>
      <c r="K135" s="1" t="s">
        <v>615</v>
      </c>
      <c r="L135" s="5">
        <v>350000</v>
      </c>
      <c r="M135" s="1" t="s">
        <v>338</v>
      </c>
    </row>
    <row r="136" spans="1:13" x14ac:dyDescent="0.25">
      <c r="A136" s="1" t="s">
        <v>901</v>
      </c>
      <c r="B136" s="1" t="s">
        <v>324</v>
      </c>
      <c r="C136" s="1" t="s">
        <v>948</v>
      </c>
      <c r="D136" s="1" t="s">
        <v>342</v>
      </c>
      <c r="E136" s="1" t="s">
        <v>16</v>
      </c>
      <c r="F136" s="1" t="s">
        <v>949</v>
      </c>
      <c r="G136" s="1" t="s">
        <v>678</v>
      </c>
      <c r="H136" s="1" t="s">
        <v>570</v>
      </c>
      <c r="I136" s="1" t="s">
        <v>950</v>
      </c>
      <c r="J136" s="1" t="s">
        <v>951</v>
      </c>
      <c r="K136" s="1" t="s">
        <v>573</v>
      </c>
      <c r="L136" s="5">
        <v>1400000</v>
      </c>
      <c r="M136" s="1" t="s">
        <v>332</v>
      </c>
    </row>
    <row r="137" spans="1:13" x14ac:dyDescent="0.25">
      <c r="A137" s="1" t="s">
        <v>1455</v>
      </c>
      <c r="B137" s="1" t="s">
        <v>325</v>
      </c>
      <c r="C137" s="1" t="s">
        <v>1456</v>
      </c>
      <c r="D137" s="1" t="s">
        <v>532</v>
      </c>
      <c r="E137" s="1" t="s">
        <v>16</v>
      </c>
      <c r="F137" s="1" t="s">
        <v>1457</v>
      </c>
      <c r="G137" s="1" t="s">
        <v>609</v>
      </c>
      <c r="H137" s="1" t="s">
        <v>570</v>
      </c>
      <c r="I137" s="1" t="s">
        <v>935</v>
      </c>
      <c r="J137" s="1" t="s">
        <v>1457</v>
      </c>
      <c r="K137" s="1" t="s">
        <v>578</v>
      </c>
      <c r="L137" s="5">
        <v>300000</v>
      </c>
      <c r="M137" s="1" t="s">
        <v>317</v>
      </c>
    </row>
    <row r="138" spans="1:13" x14ac:dyDescent="0.25">
      <c r="A138" s="1" t="s">
        <v>173</v>
      </c>
      <c r="B138" s="1" t="s">
        <v>357</v>
      </c>
      <c r="C138" s="1" t="s">
        <v>1321</v>
      </c>
      <c r="D138" s="1" t="s">
        <v>337</v>
      </c>
      <c r="E138" s="1" t="s">
        <v>16</v>
      </c>
      <c r="F138" s="1" t="s">
        <v>315</v>
      </c>
      <c r="G138" s="1" t="s">
        <v>675</v>
      </c>
      <c r="H138" s="1" t="s">
        <v>586</v>
      </c>
      <c r="I138" s="1" t="s">
        <v>782</v>
      </c>
      <c r="J138" s="1" t="s">
        <v>383</v>
      </c>
      <c r="K138" s="1" t="s">
        <v>578</v>
      </c>
      <c r="L138" s="5">
        <v>600000</v>
      </c>
      <c r="M138" s="1" t="s">
        <v>315</v>
      </c>
    </row>
    <row r="139" spans="1:13" x14ac:dyDescent="0.25">
      <c r="A139" s="1" t="s">
        <v>1284</v>
      </c>
      <c r="B139" s="1" t="s">
        <v>328</v>
      </c>
      <c r="C139" s="1" t="s">
        <v>1285</v>
      </c>
      <c r="D139" s="1" t="s">
        <v>337</v>
      </c>
      <c r="E139" s="1" t="s">
        <v>16</v>
      </c>
      <c r="F139" s="1" t="s">
        <v>339</v>
      </c>
      <c r="G139" s="1" t="s">
        <v>684</v>
      </c>
      <c r="H139" s="1" t="s">
        <v>16</v>
      </c>
      <c r="I139" s="1" t="s">
        <v>880</v>
      </c>
      <c r="J139" s="1" t="s">
        <v>1233</v>
      </c>
      <c r="K139" s="1" t="s">
        <v>658</v>
      </c>
      <c r="L139" s="5">
        <v>500000</v>
      </c>
      <c r="M139" s="1" t="s">
        <v>339</v>
      </c>
    </row>
    <row r="140" spans="1:13" x14ac:dyDescent="0.25">
      <c r="A140" s="1" t="s">
        <v>1284</v>
      </c>
      <c r="B140" s="1" t="s">
        <v>328</v>
      </c>
      <c r="C140" s="1" t="s">
        <v>1285</v>
      </c>
      <c r="D140" s="1" t="s">
        <v>337</v>
      </c>
      <c r="E140" s="1" t="s">
        <v>16</v>
      </c>
      <c r="F140" s="1" t="s">
        <v>339</v>
      </c>
      <c r="G140" s="1" t="s">
        <v>684</v>
      </c>
      <c r="H140" s="1" t="s">
        <v>16</v>
      </c>
      <c r="I140" s="1" t="s">
        <v>942</v>
      </c>
      <c r="J140" s="1" t="s">
        <v>339</v>
      </c>
      <c r="K140" s="1" t="s">
        <v>658</v>
      </c>
      <c r="L140" s="5">
        <v>500000</v>
      </c>
      <c r="M140" s="1" t="s">
        <v>316</v>
      </c>
    </row>
    <row r="141" spans="1:13" x14ac:dyDescent="0.25">
      <c r="A141" s="1" t="s">
        <v>211</v>
      </c>
      <c r="B141" s="1" t="s">
        <v>324</v>
      </c>
      <c r="C141" s="1" t="s">
        <v>1562</v>
      </c>
      <c r="D141" s="1" t="s">
        <v>337</v>
      </c>
      <c r="E141" s="1" t="s">
        <v>16</v>
      </c>
      <c r="F141" s="1" t="s">
        <v>853</v>
      </c>
      <c r="G141" s="1" t="s">
        <v>646</v>
      </c>
      <c r="H141" s="1" t="s">
        <v>570</v>
      </c>
      <c r="I141" s="1" t="s">
        <v>935</v>
      </c>
      <c r="J141" s="1" t="s">
        <v>836</v>
      </c>
      <c r="K141" s="1" t="s">
        <v>615</v>
      </c>
      <c r="L141" s="5">
        <v>150000</v>
      </c>
      <c r="M141" s="1" t="s">
        <v>319</v>
      </c>
    </row>
    <row r="142" spans="1:13" x14ac:dyDescent="0.25">
      <c r="A142" s="1" t="s">
        <v>105</v>
      </c>
      <c r="B142" s="1" t="s">
        <v>325</v>
      </c>
      <c r="C142" s="1" t="s">
        <v>821</v>
      </c>
      <c r="D142" s="1" t="s">
        <v>337</v>
      </c>
      <c r="E142" s="1" t="s">
        <v>16</v>
      </c>
      <c r="F142" s="1" t="s">
        <v>859</v>
      </c>
      <c r="G142" s="1" t="s">
        <v>675</v>
      </c>
      <c r="H142" s="1" t="s">
        <v>570</v>
      </c>
      <c r="I142" s="1" t="s">
        <v>634</v>
      </c>
      <c r="J142" s="1" t="s">
        <v>859</v>
      </c>
      <c r="K142" s="1" t="s">
        <v>573</v>
      </c>
      <c r="L142" s="5">
        <v>1500000</v>
      </c>
      <c r="M142" s="1" t="s">
        <v>334</v>
      </c>
    </row>
    <row r="143" spans="1:13" x14ac:dyDescent="0.25">
      <c r="A143" s="1" t="s">
        <v>1266</v>
      </c>
      <c r="B143" s="1" t="s">
        <v>324</v>
      </c>
      <c r="C143" s="1" t="s">
        <v>1267</v>
      </c>
      <c r="D143" s="1" t="s">
        <v>337</v>
      </c>
      <c r="E143" s="1" t="s">
        <v>16</v>
      </c>
      <c r="F143" s="1" t="s">
        <v>339</v>
      </c>
      <c r="G143" s="1" t="s">
        <v>612</v>
      </c>
      <c r="H143" s="1" t="s">
        <v>16</v>
      </c>
      <c r="I143" s="1" t="s">
        <v>1268</v>
      </c>
      <c r="J143" s="1" t="s">
        <v>1226</v>
      </c>
      <c r="K143" s="1" t="s">
        <v>573</v>
      </c>
      <c r="L143" s="5" t="s">
        <v>16</v>
      </c>
      <c r="M143" s="1" t="s">
        <v>339</v>
      </c>
    </row>
    <row r="144" spans="1:13" x14ac:dyDescent="0.25">
      <c r="A144" s="1" t="s">
        <v>1297</v>
      </c>
      <c r="B144" s="1" t="s">
        <v>324</v>
      </c>
      <c r="C144" s="1" t="s">
        <v>1350</v>
      </c>
      <c r="D144" s="1" t="s">
        <v>337</v>
      </c>
      <c r="E144" s="1" t="s">
        <v>16</v>
      </c>
      <c r="F144" s="1" t="s">
        <v>739</v>
      </c>
      <c r="G144" s="1" t="s">
        <v>684</v>
      </c>
      <c r="H144" s="1" t="s">
        <v>16</v>
      </c>
      <c r="I144" s="1" t="s">
        <v>1159</v>
      </c>
      <c r="J144" s="1" t="s">
        <v>739</v>
      </c>
      <c r="K144" s="1" t="s">
        <v>615</v>
      </c>
      <c r="L144" s="5">
        <v>25000</v>
      </c>
      <c r="M144" s="1" t="s">
        <v>315</v>
      </c>
    </row>
    <row r="145" spans="1:13" x14ac:dyDescent="0.25">
      <c r="A145" s="1" t="s">
        <v>295</v>
      </c>
      <c r="B145" s="1" t="s">
        <v>331</v>
      </c>
      <c r="C145" s="1" t="s">
        <v>1820</v>
      </c>
      <c r="D145" s="1" t="s">
        <v>337</v>
      </c>
      <c r="E145" s="1" t="s">
        <v>16</v>
      </c>
      <c r="F145" s="1" t="s">
        <v>1282</v>
      </c>
      <c r="G145" s="1" t="s">
        <v>646</v>
      </c>
      <c r="H145" s="1" t="s">
        <v>570</v>
      </c>
      <c r="I145" s="1" t="s">
        <v>1821</v>
      </c>
      <c r="J145" s="1" t="s">
        <v>1282</v>
      </c>
      <c r="K145" s="1" t="s">
        <v>573</v>
      </c>
      <c r="L145" s="5">
        <v>150000</v>
      </c>
      <c r="M145" s="1" t="s">
        <v>340</v>
      </c>
    </row>
    <row r="146" spans="1:13" x14ac:dyDescent="0.25">
      <c r="A146" s="1" t="s">
        <v>1003</v>
      </c>
      <c r="B146" s="1" t="s">
        <v>376</v>
      </c>
      <c r="C146" s="1" t="s">
        <v>1004</v>
      </c>
      <c r="D146" s="1" t="s">
        <v>337</v>
      </c>
      <c r="E146" s="1" t="s">
        <v>1005</v>
      </c>
      <c r="F146" s="1" t="s">
        <v>341</v>
      </c>
      <c r="G146" s="1" t="s">
        <v>791</v>
      </c>
      <c r="H146" s="1" t="s">
        <v>570</v>
      </c>
      <c r="I146" s="1" t="s">
        <v>1006</v>
      </c>
      <c r="J146" s="1" t="s">
        <v>985</v>
      </c>
      <c r="K146" s="1" t="s">
        <v>615</v>
      </c>
      <c r="L146" s="5">
        <v>25000</v>
      </c>
      <c r="M146" s="1" t="s">
        <v>341</v>
      </c>
    </row>
    <row r="147" spans="1:13" x14ac:dyDescent="0.25">
      <c r="A147" s="1" t="s">
        <v>261</v>
      </c>
      <c r="B147" s="1" t="s">
        <v>376</v>
      </c>
      <c r="C147" s="1" t="s">
        <v>2156</v>
      </c>
      <c r="D147" s="1" t="s">
        <v>337</v>
      </c>
      <c r="E147" s="1" t="s">
        <v>16</v>
      </c>
      <c r="F147" s="1" t="s">
        <v>383</v>
      </c>
      <c r="G147" s="1" t="s">
        <v>660</v>
      </c>
      <c r="H147" s="1" t="s">
        <v>570</v>
      </c>
      <c r="I147" s="1" t="s">
        <v>2157</v>
      </c>
      <c r="J147" s="1" t="s">
        <v>2144</v>
      </c>
      <c r="K147" s="1" t="s">
        <v>573</v>
      </c>
      <c r="L147" s="5">
        <v>150000</v>
      </c>
      <c r="M147" s="1" t="s">
        <v>383</v>
      </c>
    </row>
    <row r="148" spans="1:13" x14ac:dyDescent="0.25">
      <c r="A148" s="1" t="s">
        <v>247</v>
      </c>
      <c r="B148" s="1" t="s">
        <v>382</v>
      </c>
      <c r="C148" s="1" t="s">
        <v>1602</v>
      </c>
      <c r="D148" s="1" t="s">
        <v>337</v>
      </c>
      <c r="E148" s="1" t="s">
        <v>16</v>
      </c>
      <c r="F148" s="1" t="s">
        <v>349</v>
      </c>
      <c r="G148" s="1" t="s">
        <v>722</v>
      </c>
      <c r="H148" s="1" t="s">
        <v>570</v>
      </c>
      <c r="I148" s="1" t="s">
        <v>1603</v>
      </c>
      <c r="J148" s="1" t="s">
        <v>724</v>
      </c>
      <c r="K148" s="1" t="s">
        <v>615</v>
      </c>
      <c r="L148" s="5">
        <v>400000</v>
      </c>
      <c r="M148" s="1" t="s">
        <v>349</v>
      </c>
    </row>
    <row r="149" spans="1:13" x14ac:dyDescent="0.25">
      <c r="A149" s="1" t="s">
        <v>57</v>
      </c>
      <c r="B149" s="1" t="s">
        <v>324</v>
      </c>
      <c r="C149" s="1" t="s">
        <v>2258</v>
      </c>
      <c r="D149" s="1" t="s">
        <v>337</v>
      </c>
      <c r="E149" s="1" t="s">
        <v>16</v>
      </c>
      <c r="F149" s="1" t="s">
        <v>348</v>
      </c>
      <c r="G149" s="1" t="s">
        <v>775</v>
      </c>
      <c r="H149" s="1" t="s">
        <v>586</v>
      </c>
      <c r="I149" s="1" t="s">
        <v>1533</v>
      </c>
      <c r="J149" s="1" t="s">
        <v>2259</v>
      </c>
      <c r="K149" s="1" t="s">
        <v>573</v>
      </c>
      <c r="L149" s="5">
        <v>25000</v>
      </c>
      <c r="M149" s="1" t="s">
        <v>348</v>
      </c>
    </row>
    <row r="150" spans="1:13" x14ac:dyDescent="0.25">
      <c r="A150" s="1" t="s">
        <v>198</v>
      </c>
      <c r="B150" s="1" t="s">
        <v>352</v>
      </c>
      <c r="C150" s="1" t="s">
        <v>940</v>
      </c>
      <c r="D150" s="1" t="s">
        <v>366</v>
      </c>
      <c r="E150" s="1" t="s">
        <v>16</v>
      </c>
      <c r="F150" s="1" t="s">
        <v>941</v>
      </c>
      <c r="G150" s="1" t="s">
        <v>612</v>
      </c>
      <c r="H150" s="1" t="s">
        <v>570</v>
      </c>
      <c r="I150" s="3" t="s">
        <v>942</v>
      </c>
      <c r="J150" s="1" t="s">
        <v>943</v>
      </c>
      <c r="K150" s="1" t="s">
        <v>573</v>
      </c>
      <c r="L150" s="5">
        <v>1800000</v>
      </c>
      <c r="M150" s="1" t="s">
        <v>332</v>
      </c>
    </row>
    <row r="151" spans="1:13" x14ac:dyDescent="0.25">
      <c r="A151" s="1" t="s">
        <v>230</v>
      </c>
      <c r="B151" s="1" t="s">
        <v>326</v>
      </c>
      <c r="C151" s="1" t="s">
        <v>2026</v>
      </c>
      <c r="D151" s="1" t="s">
        <v>347</v>
      </c>
      <c r="E151" s="1" t="s">
        <v>337</v>
      </c>
      <c r="F151" s="1" t="s">
        <v>345</v>
      </c>
      <c r="G151" s="1" t="s">
        <v>684</v>
      </c>
      <c r="H151" s="1" t="s">
        <v>586</v>
      </c>
      <c r="I151" s="1" t="s">
        <v>2027</v>
      </c>
      <c r="J151" s="1" t="s">
        <v>2028</v>
      </c>
      <c r="K151" s="1" t="s">
        <v>578</v>
      </c>
      <c r="L151" s="5">
        <v>800000</v>
      </c>
      <c r="M151" s="1" t="s">
        <v>345</v>
      </c>
    </row>
    <row r="152" spans="1:13" x14ac:dyDescent="0.25">
      <c r="A152" s="1" t="s">
        <v>80</v>
      </c>
      <c r="B152" s="1" t="s">
        <v>326</v>
      </c>
      <c r="C152" s="1" t="s">
        <v>1737</v>
      </c>
      <c r="D152" s="1" t="s">
        <v>370</v>
      </c>
      <c r="E152" s="1" t="s">
        <v>16</v>
      </c>
      <c r="F152" s="1" t="s">
        <v>1738</v>
      </c>
      <c r="G152" s="1" t="s">
        <v>709</v>
      </c>
      <c r="H152" s="1" t="s">
        <v>570</v>
      </c>
      <c r="I152" s="3">
        <v>44635</v>
      </c>
      <c r="J152" s="1" t="s">
        <v>1739</v>
      </c>
      <c r="K152" s="1" t="s">
        <v>573</v>
      </c>
      <c r="L152" s="5">
        <v>400000</v>
      </c>
      <c r="M152" s="1" t="s">
        <v>361</v>
      </c>
    </row>
    <row r="153" spans="1:13" x14ac:dyDescent="0.25">
      <c r="A153" s="1" t="s">
        <v>225</v>
      </c>
      <c r="B153" s="1" t="s">
        <v>357</v>
      </c>
      <c r="C153" s="1" t="s">
        <v>1974</v>
      </c>
      <c r="D153" s="1" t="s">
        <v>364</v>
      </c>
      <c r="E153" s="1" t="s">
        <v>16</v>
      </c>
      <c r="F153" s="1" t="s">
        <v>1125</v>
      </c>
      <c r="G153" s="1" t="s">
        <v>627</v>
      </c>
      <c r="H153" s="1" t="s">
        <v>586</v>
      </c>
      <c r="I153" s="1" t="s">
        <v>597</v>
      </c>
      <c r="J153" s="1" t="s">
        <v>1975</v>
      </c>
      <c r="K153" s="1" t="s">
        <v>947</v>
      </c>
      <c r="L153" s="5">
        <v>350000</v>
      </c>
      <c r="M153" s="1" t="s">
        <v>345</v>
      </c>
    </row>
    <row r="154" spans="1:13" x14ac:dyDescent="0.25">
      <c r="A154" s="1" t="s">
        <v>226</v>
      </c>
      <c r="B154" s="1" t="s">
        <v>382</v>
      </c>
      <c r="C154" s="1" t="s">
        <v>1958</v>
      </c>
      <c r="D154" s="1" t="s">
        <v>336</v>
      </c>
      <c r="E154" s="1" t="s">
        <v>16</v>
      </c>
      <c r="F154" s="1" t="s">
        <v>345</v>
      </c>
      <c r="G154" s="1" t="s">
        <v>722</v>
      </c>
      <c r="H154" s="1" t="s">
        <v>570</v>
      </c>
      <c r="I154" s="1" t="s">
        <v>618</v>
      </c>
      <c r="J154" s="1" t="s">
        <v>1959</v>
      </c>
      <c r="K154" s="1" t="s">
        <v>615</v>
      </c>
      <c r="L154" s="5">
        <v>400000</v>
      </c>
      <c r="M154" s="1" t="s">
        <v>345</v>
      </c>
    </row>
    <row r="155" spans="1:13" x14ac:dyDescent="0.25">
      <c r="A155" s="1" t="s">
        <v>273</v>
      </c>
      <c r="B155" s="1" t="s">
        <v>330</v>
      </c>
      <c r="C155" s="1" t="s">
        <v>1259</v>
      </c>
      <c r="D155" s="1" t="s">
        <v>337</v>
      </c>
      <c r="E155" s="1" t="s">
        <v>16</v>
      </c>
      <c r="F155" s="1" t="s">
        <v>339</v>
      </c>
      <c r="G155" s="1" t="s">
        <v>660</v>
      </c>
      <c r="H155" s="1" t="s">
        <v>570</v>
      </c>
      <c r="I155" s="1" t="s">
        <v>1260</v>
      </c>
      <c r="J155" s="1" t="s">
        <v>679</v>
      </c>
      <c r="K155" s="1" t="s">
        <v>615</v>
      </c>
      <c r="L155" s="5">
        <v>400000</v>
      </c>
      <c r="M155" s="1" t="s">
        <v>339</v>
      </c>
    </row>
    <row r="156" spans="1:13" x14ac:dyDescent="0.25">
      <c r="A156" s="1" t="s">
        <v>1772</v>
      </c>
      <c r="B156" s="1" t="s">
        <v>0</v>
      </c>
      <c r="C156" s="1" t="s">
        <v>1773</v>
      </c>
      <c r="D156" s="1" t="s">
        <v>337</v>
      </c>
      <c r="E156" s="1" t="s">
        <v>16</v>
      </c>
      <c r="F156" s="1" t="s">
        <v>318</v>
      </c>
      <c r="G156" s="1" t="s">
        <v>580</v>
      </c>
      <c r="H156" s="1" t="s">
        <v>586</v>
      </c>
      <c r="I156" s="1" t="s">
        <v>1774</v>
      </c>
      <c r="J156" s="1" t="s">
        <v>1282</v>
      </c>
      <c r="K156" s="1" t="s">
        <v>588</v>
      </c>
      <c r="L156" s="5">
        <v>350000</v>
      </c>
      <c r="M156" s="1" t="s">
        <v>340</v>
      </c>
    </row>
    <row r="157" spans="1:13" x14ac:dyDescent="0.25">
      <c r="A157" s="1" t="s">
        <v>2039</v>
      </c>
      <c r="B157" s="1" t="s">
        <v>0</v>
      </c>
      <c r="C157" s="1" t="s">
        <v>2040</v>
      </c>
      <c r="D157" s="1" t="s">
        <v>337</v>
      </c>
      <c r="E157" s="1" t="s">
        <v>16</v>
      </c>
      <c r="F157" s="1" t="s">
        <v>2041</v>
      </c>
      <c r="G157" s="1" t="s">
        <v>575</v>
      </c>
      <c r="H157" s="1" t="s">
        <v>605</v>
      </c>
      <c r="I157" s="1" t="s">
        <v>1493</v>
      </c>
      <c r="J157" s="1" t="s">
        <v>1171</v>
      </c>
      <c r="K157" s="1" t="s">
        <v>615</v>
      </c>
      <c r="L157" s="5">
        <v>25000</v>
      </c>
      <c r="M157" s="1" t="s">
        <v>316</v>
      </c>
    </row>
    <row r="158" spans="1:13" x14ac:dyDescent="0.25">
      <c r="A158" s="1" t="s">
        <v>485</v>
      </c>
      <c r="B158" s="1" t="s">
        <v>325</v>
      </c>
      <c r="C158" s="1" t="s">
        <v>1371</v>
      </c>
      <c r="D158" s="1" t="s">
        <v>337</v>
      </c>
      <c r="E158" s="1" t="s">
        <v>16</v>
      </c>
      <c r="F158" s="1" t="s">
        <v>1333</v>
      </c>
      <c r="G158" s="1" t="s">
        <v>722</v>
      </c>
      <c r="H158" s="1" t="s">
        <v>570</v>
      </c>
      <c r="I158" s="1" t="s">
        <v>1372</v>
      </c>
      <c r="J158" s="1" t="s">
        <v>1373</v>
      </c>
      <c r="K158" s="1" t="s">
        <v>573</v>
      </c>
      <c r="L158" s="5">
        <v>200000</v>
      </c>
      <c r="M158" s="1" t="s">
        <v>315</v>
      </c>
    </row>
    <row r="159" spans="1:13" x14ac:dyDescent="0.25">
      <c r="A159" s="1" t="s">
        <v>217</v>
      </c>
      <c r="B159" s="1" t="s">
        <v>325</v>
      </c>
      <c r="C159" s="1" t="s">
        <v>1211</v>
      </c>
      <c r="D159" s="1" t="s">
        <v>337</v>
      </c>
      <c r="E159" s="1" t="s">
        <v>16</v>
      </c>
      <c r="F159" s="1" t="s">
        <v>1212</v>
      </c>
      <c r="G159" s="1" t="s">
        <v>722</v>
      </c>
      <c r="H159" s="1" t="s">
        <v>570</v>
      </c>
      <c r="I159" s="1" t="s">
        <v>618</v>
      </c>
      <c r="J159" s="1" t="s">
        <v>858</v>
      </c>
      <c r="K159" s="1" t="s">
        <v>615</v>
      </c>
      <c r="L159" s="5">
        <v>250000</v>
      </c>
      <c r="M159" s="1" t="s">
        <v>344</v>
      </c>
    </row>
    <row r="160" spans="1:13" x14ac:dyDescent="0.25">
      <c r="A160" s="1" t="s">
        <v>217</v>
      </c>
      <c r="B160" s="1" t="s">
        <v>325</v>
      </c>
      <c r="C160" s="1" t="s">
        <v>1211</v>
      </c>
      <c r="D160" s="1" t="s">
        <v>337</v>
      </c>
      <c r="E160" s="1" t="s">
        <v>16</v>
      </c>
      <c r="F160" s="1" t="s">
        <v>1212</v>
      </c>
      <c r="G160" s="1" t="s">
        <v>722</v>
      </c>
      <c r="H160" s="1" t="s">
        <v>570</v>
      </c>
      <c r="I160" s="1" t="s">
        <v>1940</v>
      </c>
      <c r="J160" s="1" t="s">
        <v>344</v>
      </c>
      <c r="K160" s="1" t="s">
        <v>615</v>
      </c>
      <c r="L160" s="5">
        <v>250000</v>
      </c>
      <c r="M160" s="1" t="s">
        <v>319</v>
      </c>
    </row>
    <row r="161" spans="1:13" x14ac:dyDescent="0.25">
      <c r="A161" s="1" t="s">
        <v>192</v>
      </c>
      <c r="B161" s="1" t="s">
        <v>331</v>
      </c>
      <c r="C161" s="1" t="s">
        <v>928</v>
      </c>
      <c r="D161" s="1" t="s">
        <v>384</v>
      </c>
      <c r="E161" s="1" t="s">
        <v>337</v>
      </c>
      <c r="F161" s="1" t="s">
        <v>929</v>
      </c>
      <c r="G161" s="1" t="s">
        <v>633</v>
      </c>
      <c r="H161" s="1" t="s">
        <v>570</v>
      </c>
      <c r="I161" s="1" t="s">
        <v>930</v>
      </c>
      <c r="J161" s="1" t="s">
        <v>931</v>
      </c>
      <c r="K161" s="1" t="s">
        <v>573</v>
      </c>
      <c r="L161" s="5">
        <v>200000</v>
      </c>
      <c r="M161" s="1" t="s">
        <v>332</v>
      </c>
    </row>
    <row r="162" spans="1:13" x14ac:dyDescent="0.25">
      <c r="A162" s="1" t="s">
        <v>264</v>
      </c>
      <c r="B162" s="1" t="s">
        <v>326</v>
      </c>
      <c r="C162" s="1" t="s">
        <v>2176</v>
      </c>
      <c r="D162" s="1" t="s">
        <v>392</v>
      </c>
      <c r="E162" s="1" t="s">
        <v>16</v>
      </c>
      <c r="F162" s="1" t="s">
        <v>2177</v>
      </c>
      <c r="G162" s="1" t="s">
        <v>684</v>
      </c>
      <c r="H162" s="1" t="s">
        <v>570</v>
      </c>
      <c r="I162" s="1" t="s">
        <v>618</v>
      </c>
      <c r="J162" s="1" t="s">
        <v>2178</v>
      </c>
      <c r="K162" s="1" t="s">
        <v>573</v>
      </c>
      <c r="L162" s="5">
        <v>300000</v>
      </c>
      <c r="M162" s="1" t="s">
        <v>383</v>
      </c>
    </row>
    <row r="163" spans="1:13" x14ac:dyDescent="0.25">
      <c r="A163" s="1" t="s">
        <v>2168</v>
      </c>
      <c r="B163" s="1" t="s">
        <v>330</v>
      </c>
      <c r="C163" s="1" t="s">
        <v>2169</v>
      </c>
      <c r="D163" s="1" t="s">
        <v>337</v>
      </c>
      <c r="E163" s="1" t="s">
        <v>16</v>
      </c>
      <c r="F163" s="1" t="s">
        <v>997</v>
      </c>
      <c r="G163" s="1" t="s">
        <v>16</v>
      </c>
      <c r="H163" s="1" t="s">
        <v>16</v>
      </c>
      <c r="I163" s="1" t="s">
        <v>2170</v>
      </c>
      <c r="J163" s="1" t="s">
        <v>2144</v>
      </c>
      <c r="K163" s="1" t="s">
        <v>573</v>
      </c>
      <c r="L163" s="5">
        <v>25000</v>
      </c>
      <c r="M163" s="1" t="s">
        <v>383</v>
      </c>
    </row>
    <row r="164" spans="1:13" x14ac:dyDescent="0.25">
      <c r="A164" s="1" t="s">
        <v>107</v>
      </c>
      <c r="B164" s="1" t="s">
        <v>0</v>
      </c>
      <c r="C164" s="1" t="s">
        <v>1052</v>
      </c>
      <c r="D164" s="1" t="s">
        <v>350</v>
      </c>
      <c r="E164" s="1" t="s">
        <v>16</v>
      </c>
      <c r="F164" s="1" t="s">
        <v>338</v>
      </c>
      <c r="G164" s="1" t="s">
        <v>569</v>
      </c>
      <c r="H164" s="1" t="s">
        <v>570</v>
      </c>
      <c r="I164" s="1" t="s">
        <v>1053</v>
      </c>
      <c r="J164" s="1" t="s">
        <v>1054</v>
      </c>
      <c r="K164" s="1" t="s">
        <v>615</v>
      </c>
      <c r="L164" s="5">
        <v>200000</v>
      </c>
      <c r="M164" s="1" t="s">
        <v>338</v>
      </c>
    </row>
    <row r="165" spans="1:13" x14ac:dyDescent="0.25">
      <c r="A165" s="1" t="s">
        <v>276</v>
      </c>
      <c r="B165" s="1" t="s">
        <v>382</v>
      </c>
      <c r="C165" s="1" t="s">
        <v>1237</v>
      </c>
      <c r="D165" s="1" t="s">
        <v>490</v>
      </c>
      <c r="E165" s="1" t="s">
        <v>16</v>
      </c>
      <c r="F165" s="1" t="s">
        <v>1238</v>
      </c>
      <c r="G165" s="1" t="s">
        <v>580</v>
      </c>
      <c r="H165" s="1" t="s">
        <v>570</v>
      </c>
      <c r="I165" s="1" t="s">
        <v>874</v>
      </c>
      <c r="J165" s="1" t="s">
        <v>1239</v>
      </c>
      <c r="K165" s="1" t="s">
        <v>573</v>
      </c>
      <c r="L165" s="5">
        <v>300000</v>
      </c>
      <c r="M165" s="1" t="s">
        <v>339</v>
      </c>
    </row>
    <row r="166" spans="1:13" x14ac:dyDescent="0.25">
      <c r="A166" s="1" t="s">
        <v>118</v>
      </c>
      <c r="B166" s="1" t="s">
        <v>330</v>
      </c>
      <c r="C166" s="1" t="s">
        <v>1094</v>
      </c>
      <c r="D166" s="1" t="s">
        <v>342</v>
      </c>
      <c r="E166" s="1" t="s">
        <v>16</v>
      </c>
      <c r="F166" s="1" t="s">
        <v>348</v>
      </c>
      <c r="G166" s="1" t="s">
        <v>684</v>
      </c>
      <c r="H166" s="1" t="s">
        <v>570</v>
      </c>
      <c r="I166" s="1" t="s">
        <v>1095</v>
      </c>
      <c r="J166" s="1" t="s">
        <v>951</v>
      </c>
      <c r="K166" s="1" t="s">
        <v>615</v>
      </c>
      <c r="L166" s="5">
        <v>250000</v>
      </c>
      <c r="M166" s="1" t="s">
        <v>338</v>
      </c>
    </row>
    <row r="167" spans="1:13" x14ac:dyDescent="0.25">
      <c r="A167" s="1" t="s">
        <v>268</v>
      </c>
      <c r="B167" s="1" t="s">
        <v>325</v>
      </c>
      <c r="C167" s="1" t="s">
        <v>2194</v>
      </c>
      <c r="D167" s="1" t="s">
        <v>365</v>
      </c>
      <c r="E167" s="1" t="s">
        <v>385</v>
      </c>
      <c r="F167" s="1" t="s">
        <v>2195</v>
      </c>
      <c r="G167" s="1" t="s">
        <v>646</v>
      </c>
      <c r="H167" s="1" t="s">
        <v>570</v>
      </c>
      <c r="I167" s="1" t="s">
        <v>1452</v>
      </c>
      <c r="J167" s="1" t="s">
        <v>1270</v>
      </c>
      <c r="K167" s="1" t="s">
        <v>573</v>
      </c>
      <c r="L167" s="5">
        <v>400000</v>
      </c>
      <c r="M167" s="1" t="s">
        <v>383</v>
      </c>
    </row>
    <row r="168" spans="1:13" x14ac:dyDescent="0.25">
      <c r="A168" s="1" t="s">
        <v>543</v>
      </c>
      <c r="B168" s="1" t="s">
        <v>331</v>
      </c>
      <c r="C168" s="1" t="s">
        <v>2161</v>
      </c>
      <c r="D168" s="1" t="s">
        <v>532</v>
      </c>
      <c r="E168" s="1" t="s">
        <v>16</v>
      </c>
      <c r="F168" s="1" t="s">
        <v>831</v>
      </c>
      <c r="G168" s="1" t="s">
        <v>633</v>
      </c>
      <c r="H168" s="1" t="s">
        <v>586</v>
      </c>
      <c r="I168" s="1" t="s">
        <v>942</v>
      </c>
      <c r="J168" s="1" t="s">
        <v>1024</v>
      </c>
      <c r="K168" s="1" t="s">
        <v>573</v>
      </c>
      <c r="L168" s="5">
        <v>300000</v>
      </c>
      <c r="M168" s="1" t="s">
        <v>383</v>
      </c>
    </row>
    <row r="169" spans="1:13" x14ac:dyDescent="0.25">
      <c r="A169" s="1" t="s">
        <v>292</v>
      </c>
      <c r="B169" s="1" t="s">
        <v>328</v>
      </c>
      <c r="C169" s="1" t="s">
        <v>1849</v>
      </c>
      <c r="D169" s="1" t="s">
        <v>362</v>
      </c>
      <c r="E169" s="1" t="s">
        <v>350</v>
      </c>
      <c r="F169" s="1" t="s">
        <v>1454</v>
      </c>
      <c r="G169" s="1" t="s">
        <v>702</v>
      </c>
      <c r="H169" s="1" t="s">
        <v>570</v>
      </c>
      <c r="I169" s="1" t="s">
        <v>973</v>
      </c>
      <c r="J169" s="1" t="s">
        <v>1850</v>
      </c>
      <c r="K169" s="1" t="s">
        <v>615</v>
      </c>
      <c r="L169" s="5">
        <v>400000</v>
      </c>
      <c r="M169" s="1" t="s">
        <v>340</v>
      </c>
    </row>
    <row r="170" spans="1:13" x14ac:dyDescent="0.25">
      <c r="A170" s="1" t="s">
        <v>308</v>
      </c>
      <c r="B170" s="1" t="s">
        <v>325</v>
      </c>
      <c r="C170" s="1" t="s">
        <v>1404</v>
      </c>
      <c r="D170" s="1" t="s">
        <v>333</v>
      </c>
      <c r="E170" s="1" t="s">
        <v>16</v>
      </c>
      <c r="F170" s="1" t="s">
        <v>345</v>
      </c>
      <c r="G170" s="1" t="s">
        <v>580</v>
      </c>
      <c r="H170" s="1" t="s">
        <v>586</v>
      </c>
      <c r="I170" s="1" t="s">
        <v>597</v>
      </c>
      <c r="J170" s="1" t="s">
        <v>2030</v>
      </c>
      <c r="K170" s="1" t="s">
        <v>615</v>
      </c>
      <c r="L170" s="5">
        <v>1800000</v>
      </c>
      <c r="M170" s="1" t="s">
        <v>345</v>
      </c>
    </row>
    <row r="171" spans="1:13" x14ac:dyDescent="0.25">
      <c r="A171" s="1" t="s">
        <v>61</v>
      </c>
      <c r="B171" s="1" t="s">
        <v>359</v>
      </c>
      <c r="C171" s="1" t="s">
        <v>1425</v>
      </c>
      <c r="D171" s="1" t="s">
        <v>342</v>
      </c>
      <c r="E171" s="1" t="s">
        <v>16</v>
      </c>
      <c r="F171" s="1" t="s">
        <v>317</v>
      </c>
      <c r="G171" s="1" t="s">
        <v>612</v>
      </c>
      <c r="H171" s="1" t="s">
        <v>586</v>
      </c>
      <c r="I171" s="1" t="s">
        <v>597</v>
      </c>
      <c r="J171" s="1" t="s">
        <v>1426</v>
      </c>
      <c r="K171" s="1" t="s">
        <v>615</v>
      </c>
      <c r="L171" s="5">
        <v>700000</v>
      </c>
      <c r="M171" s="1" t="s">
        <v>317</v>
      </c>
    </row>
    <row r="172" spans="1:13" x14ac:dyDescent="0.25">
      <c r="A172" s="1" t="s">
        <v>138</v>
      </c>
      <c r="B172" s="1" t="s">
        <v>325</v>
      </c>
      <c r="C172" s="1" t="s">
        <v>716</v>
      </c>
      <c r="D172" s="1" t="s">
        <v>400</v>
      </c>
      <c r="E172" s="1" t="s">
        <v>16</v>
      </c>
      <c r="F172" s="1" t="s">
        <v>318</v>
      </c>
      <c r="G172" s="1" t="s">
        <v>684</v>
      </c>
      <c r="H172" s="1" t="s">
        <v>605</v>
      </c>
      <c r="I172" s="1" t="s">
        <v>717</v>
      </c>
      <c r="J172" s="1" t="s">
        <v>662</v>
      </c>
      <c r="K172" s="1" t="s">
        <v>578</v>
      </c>
      <c r="L172" s="5">
        <v>1200000</v>
      </c>
      <c r="M172" s="1" t="s">
        <v>318</v>
      </c>
    </row>
    <row r="173" spans="1:13" x14ac:dyDescent="0.25">
      <c r="A173" s="1" t="s">
        <v>487</v>
      </c>
      <c r="B173" s="1" t="s">
        <v>324</v>
      </c>
      <c r="C173" s="1" t="s">
        <v>2101</v>
      </c>
      <c r="D173" s="1" t="s">
        <v>337</v>
      </c>
      <c r="E173" s="1" t="s">
        <v>16</v>
      </c>
      <c r="F173" s="1" t="s">
        <v>1130</v>
      </c>
      <c r="G173" s="1" t="s">
        <v>769</v>
      </c>
      <c r="H173" s="1" t="s">
        <v>605</v>
      </c>
      <c r="I173" s="1" t="s">
        <v>597</v>
      </c>
      <c r="J173" s="1" t="s">
        <v>2090</v>
      </c>
      <c r="K173" s="1" t="s">
        <v>615</v>
      </c>
      <c r="L173" s="5">
        <v>300000</v>
      </c>
      <c r="M173" s="1" t="s">
        <v>316</v>
      </c>
    </row>
    <row r="174" spans="1:13" x14ac:dyDescent="0.25">
      <c r="A174" s="1" t="s">
        <v>1874</v>
      </c>
      <c r="B174" s="1" t="s">
        <v>324</v>
      </c>
      <c r="C174" s="1" t="s">
        <v>1928</v>
      </c>
      <c r="D174" s="1" t="s">
        <v>337</v>
      </c>
      <c r="E174" s="1" t="s">
        <v>16</v>
      </c>
      <c r="F174" s="1" t="s">
        <v>1929</v>
      </c>
      <c r="G174" s="1" t="s">
        <v>612</v>
      </c>
      <c r="H174" s="1" t="s">
        <v>570</v>
      </c>
      <c r="I174" s="1" t="s">
        <v>1930</v>
      </c>
      <c r="J174" s="1" t="s">
        <v>739</v>
      </c>
      <c r="K174" s="1" t="s">
        <v>16</v>
      </c>
      <c r="L174" s="5" t="s">
        <v>16</v>
      </c>
      <c r="M174" s="1" t="s">
        <v>319</v>
      </c>
    </row>
    <row r="175" spans="1:13" x14ac:dyDescent="0.25">
      <c r="A175" s="1" t="s">
        <v>1747</v>
      </c>
      <c r="B175" s="1" t="s">
        <v>328</v>
      </c>
      <c r="C175" s="1" t="s">
        <v>1438</v>
      </c>
      <c r="D175" s="1" t="s">
        <v>337</v>
      </c>
      <c r="E175" s="1" t="s">
        <v>16</v>
      </c>
      <c r="F175" s="1" t="s">
        <v>1666</v>
      </c>
      <c r="G175" s="1" t="s">
        <v>775</v>
      </c>
      <c r="H175" s="1" t="s">
        <v>16</v>
      </c>
      <c r="I175" s="1" t="s">
        <v>1663</v>
      </c>
      <c r="J175" s="1" t="s">
        <v>1666</v>
      </c>
      <c r="K175" s="1" t="s">
        <v>16</v>
      </c>
      <c r="L175" s="5">
        <v>25000</v>
      </c>
      <c r="M175" s="1" t="s">
        <v>361</v>
      </c>
    </row>
    <row r="176" spans="1:13" x14ac:dyDescent="0.25">
      <c r="A176" s="1" t="s">
        <v>498</v>
      </c>
      <c r="B176" s="1" t="s">
        <v>331</v>
      </c>
      <c r="C176" s="1" t="s">
        <v>1814</v>
      </c>
      <c r="D176" s="1" t="s">
        <v>499</v>
      </c>
      <c r="E176" s="1" t="s">
        <v>16</v>
      </c>
      <c r="F176" s="1" t="s">
        <v>1815</v>
      </c>
      <c r="G176" s="1" t="s">
        <v>612</v>
      </c>
      <c r="H176" s="1" t="s">
        <v>605</v>
      </c>
      <c r="I176" s="1" t="s">
        <v>1193</v>
      </c>
      <c r="J176" s="1" t="s">
        <v>1816</v>
      </c>
      <c r="K176" s="1" t="s">
        <v>651</v>
      </c>
      <c r="L176" s="5">
        <v>500000</v>
      </c>
      <c r="M176" s="1" t="s">
        <v>340</v>
      </c>
    </row>
    <row r="177" spans="1:13" x14ac:dyDescent="0.25">
      <c r="A177" s="1" t="s">
        <v>239</v>
      </c>
      <c r="B177" s="1" t="s">
        <v>325</v>
      </c>
      <c r="C177" s="1" t="s">
        <v>1933</v>
      </c>
      <c r="D177" s="1" t="s">
        <v>337</v>
      </c>
      <c r="E177" s="1" t="s">
        <v>16</v>
      </c>
      <c r="F177" s="1" t="s">
        <v>332</v>
      </c>
      <c r="G177" s="1" t="s">
        <v>675</v>
      </c>
      <c r="H177" s="1" t="s">
        <v>570</v>
      </c>
      <c r="I177" s="1" t="s">
        <v>1934</v>
      </c>
      <c r="J177" s="1" t="s">
        <v>345</v>
      </c>
      <c r="K177" s="1" t="s">
        <v>588</v>
      </c>
      <c r="L177" s="5">
        <v>800000</v>
      </c>
      <c r="M177" s="1" t="s">
        <v>319</v>
      </c>
    </row>
    <row r="178" spans="1:13" x14ac:dyDescent="0.25">
      <c r="A178" s="1" t="s">
        <v>239</v>
      </c>
      <c r="B178" s="1" t="s">
        <v>325</v>
      </c>
      <c r="C178" s="1" t="s">
        <v>1933</v>
      </c>
      <c r="D178" s="1" t="s">
        <v>337</v>
      </c>
      <c r="E178" s="1" t="s">
        <v>16</v>
      </c>
      <c r="F178" s="1" t="s">
        <v>332</v>
      </c>
      <c r="G178" s="1" t="s">
        <v>675</v>
      </c>
      <c r="H178" s="1" t="s">
        <v>570</v>
      </c>
      <c r="I178" s="1" t="s">
        <v>922</v>
      </c>
      <c r="J178" s="1" t="s">
        <v>841</v>
      </c>
      <c r="K178" s="1" t="s">
        <v>588</v>
      </c>
      <c r="L178" s="5">
        <v>800000</v>
      </c>
      <c r="M178" s="1" t="s">
        <v>345</v>
      </c>
    </row>
    <row r="179" spans="1:13" x14ac:dyDescent="0.25">
      <c r="A179" s="1" t="s">
        <v>457</v>
      </c>
      <c r="B179" s="1" t="s">
        <v>324</v>
      </c>
      <c r="C179" s="1" t="s">
        <v>956</v>
      </c>
      <c r="D179" s="1" t="s">
        <v>336</v>
      </c>
      <c r="E179" s="1" t="s">
        <v>420</v>
      </c>
      <c r="F179" s="1" t="s">
        <v>724</v>
      </c>
      <c r="G179" s="1" t="s">
        <v>660</v>
      </c>
      <c r="H179" s="1" t="s">
        <v>605</v>
      </c>
      <c r="I179" s="1" t="s">
        <v>957</v>
      </c>
      <c r="J179" s="1" t="s">
        <v>958</v>
      </c>
      <c r="K179" s="1" t="s">
        <v>16</v>
      </c>
      <c r="L179" s="5">
        <v>500000</v>
      </c>
      <c r="M179" s="1" t="s">
        <v>332</v>
      </c>
    </row>
    <row r="180" spans="1:13" x14ac:dyDescent="0.25">
      <c r="A180" s="1" t="s">
        <v>358</v>
      </c>
      <c r="B180" s="1" t="s">
        <v>324</v>
      </c>
      <c r="C180" s="1" t="s">
        <v>1724</v>
      </c>
      <c r="D180" s="1" t="s">
        <v>367</v>
      </c>
      <c r="E180" s="1" t="s">
        <v>16</v>
      </c>
      <c r="F180" s="1" t="s">
        <v>1725</v>
      </c>
      <c r="G180" s="1" t="s">
        <v>660</v>
      </c>
      <c r="H180" s="1" t="s">
        <v>605</v>
      </c>
      <c r="I180" s="1" t="s">
        <v>1726</v>
      </c>
      <c r="J180" s="1" t="s">
        <v>933</v>
      </c>
      <c r="K180" s="1" t="s">
        <v>723</v>
      </c>
      <c r="L180" s="5">
        <v>400000</v>
      </c>
      <c r="M180" s="1" t="s">
        <v>361</v>
      </c>
    </row>
    <row r="181" spans="1:13" x14ac:dyDescent="0.25">
      <c r="A181" s="1" t="s">
        <v>448</v>
      </c>
      <c r="B181" s="1" t="s">
        <v>325</v>
      </c>
      <c r="C181" s="1" t="s">
        <v>2196</v>
      </c>
      <c r="D181" s="1" t="s">
        <v>449</v>
      </c>
      <c r="E181" s="1" t="s">
        <v>347</v>
      </c>
      <c r="F181" s="1" t="s">
        <v>2197</v>
      </c>
      <c r="G181" s="1" t="s">
        <v>627</v>
      </c>
      <c r="H181" s="1" t="s">
        <v>570</v>
      </c>
      <c r="I181" s="1" t="s">
        <v>1313</v>
      </c>
      <c r="J181" s="1" t="s">
        <v>332</v>
      </c>
      <c r="K181" s="1" t="s">
        <v>16</v>
      </c>
      <c r="L181" s="5">
        <v>300000</v>
      </c>
      <c r="M181" s="1" t="s">
        <v>383</v>
      </c>
    </row>
    <row r="182" spans="1:13" x14ac:dyDescent="0.25">
      <c r="A182" s="1" t="s">
        <v>1403</v>
      </c>
      <c r="B182" s="1" t="s">
        <v>331</v>
      </c>
      <c r="C182" s="1" t="s">
        <v>1404</v>
      </c>
      <c r="D182" s="1" t="s">
        <v>388</v>
      </c>
      <c r="E182" s="1" t="s">
        <v>16</v>
      </c>
      <c r="F182" s="1" t="s">
        <v>1405</v>
      </c>
      <c r="G182" s="1" t="s">
        <v>702</v>
      </c>
      <c r="H182" s="1" t="s">
        <v>570</v>
      </c>
      <c r="I182" s="1" t="s">
        <v>597</v>
      </c>
      <c r="J182" s="1" t="s">
        <v>1406</v>
      </c>
      <c r="K182" s="1" t="s">
        <v>573</v>
      </c>
      <c r="L182" s="5">
        <v>300000</v>
      </c>
      <c r="M182" s="1" t="s">
        <v>317</v>
      </c>
    </row>
    <row r="183" spans="1:13" x14ac:dyDescent="0.25">
      <c r="A183" s="1" t="s">
        <v>43</v>
      </c>
      <c r="B183" s="1" t="s">
        <v>325</v>
      </c>
      <c r="C183" s="1" t="s">
        <v>1565</v>
      </c>
      <c r="D183" s="1" t="s">
        <v>350</v>
      </c>
      <c r="E183" s="1" t="s">
        <v>16</v>
      </c>
      <c r="F183" s="1" t="s">
        <v>1566</v>
      </c>
      <c r="G183" s="1" t="s">
        <v>575</v>
      </c>
      <c r="H183" s="1" t="s">
        <v>570</v>
      </c>
      <c r="I183" s="1" t="s">
        <v>618</v>
      </c>
      <c r="J183" s="1" t="s">
        <v>1567</v>
      </c>
      <c r="K183" s="1" t="s">
        <v>573</v>
      </c>
      <c r="L183" s="5">
        <v>250000</v>
      </c>
      <c r="M183" s="1" t="s">
        <v>23</v>
      </c>
    </row>
    <row r="184" spans="1:13" x14ac:dyDescent="0.25">
      <c r="A184" s="1" t="s">
        <v>91</v>
      </c>
      <c r="B184" s="1" t="s">
        <v>0</v>
      </c>
      <c r="C184" s="1" t="s">
        <v>742</v>
      </c>
      <c r="D184" s="1" t="s">
        <v>337</v>
      </c>
      <c r="E184" s="1" t="s">
        <v>16</v>
      </c>
      <c r="F184" s="1" t="s">
        <v>334</v>
      </c>
      <c r="G184" s="1" t="s">
        <v>633</v>
      </c>
      <c r="H184" s="1" t="s">
        <v>570</v>
      </c>
      <c r="I184" s="1" t="s">
        <v>743</v>
      </c>
      <c r="J184" s="1" t="s">
        <v>828</v>
      </c>
      <c r="K184" s="1" t="s">
        <v>578</v>
      </c>
      <c r="L184" s="5">
        <v>300000</v>
      </c>
      <c r="M184" s="1" t="s">
        <v>334</v>
      </c>
    </row>
    <row r="185" spans="1:13" x14ac:dyDescent="0.25">
      <c r="A185" s="1" t="s">
        <v>776</v>
      </c>
      <c r="B185" s="1" t="s">
        <v>376</v>
      </c>
      <c r="C185" s="1" t="s">
        <v>777</v>
      </c>
      <c r="D185" s="1" t="s">
        <v>337</v>
      </c>
      <c r="E185" s="1" t="s">
        <v>16</v>
      </c>
      <c r="F185" s="1" t="s">
        <v>841</v>
      </c>
      <c r="G185" s="1" t="s">
        <v>646</v>
      </c>
      <c r="H185" s="1" t="s">
        <v>570</v>
      </c>
      <c r="I185" s="1" t="s">
        <v>778</v>
      </c>
      <c r="J185" s="1" t="s">
        <v>829</v>
      </c>
      <c r="K185" s="1" t="s">
        <v>573</v>
      </c>
      <c r="L185" s="5">
        <v>150000</v>
      </c>
      <c r="M185" s="1" t="s">
        <v>334</v>
      </c>
    </row>
    <row r="186" spans="1:13" x14ac:dyDescent="0.25">
      <c r="A186" s="1" t="s">
        <v>228</v>
      </c>
      <c r="B186" s="1" t="s">
        <v>331</v>
      </c>
      <c r="C186" s="1" t="s">
        <v>1980</v>
      </c>
      <c r="D186" s="1" t="s">
        <v>337</v>
      </c>
      <c r="E186" s="1" t="s">
        <v>16</v>
      </c>
      <c r="F186" s="1" t="s">
        <v>345</v>
      </c>
      <c r="G186" s="1" t="s">
        <v>684</v>
      </c>
      <c r="H186" s="1" t="s">
        <v>570</v>
      </c>
      <c r="I186" s="1" t="s">
        <v>1981</v>
      </c>
      <c r="J186" s="1" t="s">
        <v>1968</v>
      </c>
      <c r="K186" s="1" t="s">
        <v>16</v>
      </c>
      <c r="L186" s="5">
        <v>25000</v>
      </c>
      <c r="M186" s="1" t="s">
        <v>345</v>
      </c>
    </row>
    <row r="187" spans="1:13" x14ac:dyDescent="0.25">
      <c r="A187" s="1" t="s">
        <v>1825</v>
      </c>
      <c r="B187" s="1" t="s">
        <v>331</v>
      </c>
      <c r="C187" s="1" t="s">
        <v>1826</v>
      </c>
      <c r="D187" s="1" t="s">
        <v>337</v>
      </c>
      <c r="E187" s="1" t="s">
        <v>16</v>
      </c>
      <c r="F187" s="1" t="s">
        <v>340</v>
      </c>
      <c r="G187" s="1" t="s">
        <v>660</v>
      </c>
      <c r="H187" s="1" t="s">
        <v>16</v>
      </c>
      <c r="I187" s="1" t="s">
        <v>634</v>
      </c>
      <c r="J187" s="1" t="s">
        <v>1282</v>
      </c>
      <c r="K187" s="1" t="s">
        <v>578</v>
      </c>
      <c r="L187" s="5">
        <v>25000</v>
      </c>
      <c r="M187" s="1" t="s">
        <v>340</v>
      </c>
    </row>
    <row r="188" spans="1:13" x14ac:dyDescent="0.25">
      <c r="A188" s="1" t="s">
        <v>117</v>
      </c>
      <c r="B188" s="1" t="s">
        <v>376</v>
      </c>
      <c r="C188" s="1" t="s">
        <v>1079</v>
      </c>
      <c r="D188" s="1" t="s">
        <v>337</v>
      </c>
      <c r="E188" s="1" t="s">
        <v>16</v>
      </c>
      <c r="F188" s="1" t="s">
        <v>338</v>
      </c>
      <c r="G188" s="1" t="s">
        <v>609</v>
      </c>
      <c r="H188" s="1" t="s">
        <v>570</v>
      </c>
      <c r="I188" s="1" t="s">
        <v>1080</v>
      </c>
      <c r="J188" s="1" t="s">
        <v>1061</v>
      </c>
      <c r="K188" s="1" t="s">
        <v>588</v>
      </c>
      <c r="L188" s="5">
        <v>400000</v>
      </c>
      <c r="M188" s="1" t="s">
        <v>338</v>
      </c>
    </row>
    <row r="189" spans="1:13" x14ac:dyDescent="0.25">
      <c r="A189" s="1" t="s">
        <v>1473</v>
      </c>
      <c r="B189" s="1" t="s">
        <v>0</v>
      </c>
      <c r="C189" s="1" t="s">
        <v>1474</v>
      </c>
      <c r="D189" s="1" t="s">
        <v>337</v>
      </c>
      <c r="E189" s="1" t="s">
        <v>16</v>
      </c>
      <c r="F189" s="1" t="s">
        <v>23</v>
      </c>
      <c r="G189" s="1" t="s">
        <v>633</v>
      </c>
      <c r="H189" s="1" t="s">
        <v>16</v>
      </c>
      <c r="I189" s="1" t="s">
        <v>908</v>
      </c>
      <c r="J189" s="1" t="s">
        <v>1302</v>
      </c>
      <c r="K189" s="1" t="s">
        <v>16</v>
      </c>
      <c r="L189" s="5">
        <v>25000</v>
      </c>
      <c r="M189" s="1" t="s">
        <v>23</v>
      </c>
    </row>
    <row r="190" spans="1:13" x14ac:dyDescent="0.25">
      <c r="A190" s="1" t="s">
        <v>277</v>
      </c>
      <c r="B190" s="1" t="s">
        <v>331</v>
      </c>
      <c r="C190" s="1" t="s">
        <v>1256</v>
      </c>
      <c r="D190" s="1" t="s">
        <v>350</v>
      </c>
      <c r="E190" s="1" t="s">
        <v>16</v>
      </c>
      <c r="F190" s="1" t="s">
        <v>339</v>
      </c>
      <c r="G190" s="1" t="s">
        <v>769</v>
      </c>
      <c r="H190" s="1" t="s">
        <v>586</v>
      </c>
      <c r="I190" s="1" t="s">
        <v>592</v>
      </c>
      <c r="J190" s="1" t="s">
        <v>1257</v>
      </c>
      <c r="K190" s="1" t="s">
        <v>615</v>
      </c>
      <c r="L190" s="5">
        <v>350000</v>
      </c>
      <c r="M190" s="1" t="s">
        <v>339</v>
      </c>
    </row>
    <row r="191" spans="1:13" x14ac:dyDescent="0.25">
      <c r="A191" s="1" t="s">
        <v>172</v>
      </c>
      <c r="B191" s="1" t="s">
        <v>0</v>
      </c>
      <c r="C191" s="1" t="s">
        <v>1300</v>
      </c>
      <c r="D191" s="1" t="s">
        <v>337</v>
      </c>
      <c r="E191" s="1" t="s">
        <v>16</v>
      </c>
      <c r="F191" s="1" t="s">
        <v>1301</v>
      </c>
      <c r="G191" s="1" t="s">
        <v>569</v>
      </c>
      <c r="H191" s="1" t="s">
        <v>570</v>
      </c>
      <c r="I191" s="3">
        <v>44286</v>
      </c>
      <c r="J191" s="1" t="s">
        <v>1302</v>
      </c>
      <c r="K191" s="1" t="s">
        <v>1277</v>
      </c>
      <c r="L191" s="5">
        <v>1300000</v>
      </c>
      <c r="M191" s="1" t="s">
        <v>315</v>
      </c>
    </row>
    <row r="192" spans="1:13" x14ac:dyDescent="0.25">
      <c r="A192" s="1" t="s">
        <v>1582</v>
      </c>
      <c r="B192" s="1" t="s">
        <v>382</v>
      </c>
      <c r="C192" s="1" t="s">
        <v>1610</v>
      </c>
      <c r="D192" s="1" t="s">
        <v>337</v>
      </c>
      <c r="E192" s="1" t="s">
        <v>16</v>
      </c>
      <c r="F192" s="1" t="s">
        <v>1611</v>
      </c>
      <c r="G192" s="1" t="s">
        <v>627</v>
      </c>
      <c r="H192" s="1" t="s">
        <v>16</v>
      </c>
      <c r="I192" s="1" t="s">
        <v>1612</v>
      </c>
      <c r="J192" s="1" t="s">
        <v>1594</v>
      </c>
      <c r="K192" s="1" t="s">
        <v>573</v>
      </c>
      <c r="L192" s="5" t="s">
        <v>16</v>
      </c>
      <c r="M192" s="1" t="s">
        <v>349</v>
      </c>
    </row>
    <row r="193" spans="1:13" x14ac:dyDescent="0.25">
      <c r="A193" s="1" t="s">
        <v>793</v>
      </c>
      <c r="B193" s="1" t="s">
        <v>324</v>
      </c>
      <c r="C193" s="1" t="s">
        <v>794</v>
      </c>
      <c r="D193" s="1" t="s">
        <v>337</v>
      </c>
      <c r="E193" s="1" t="s">
        <v>16</v>
      </c>
      <c r="F193" s="1" t="s">
        <v>334</v>
      </c>
      <c r="G193" s="1" t="s">
        <v>609</v>
      </c>
      <c r="H193" s="1" t="s">
        <v>605</v>
      </c>
      <c r="I193" s="1" t="s">
        <v>795</v>
      </c>
      <c r="J193" s="1" t="s">
        <v>830</v>
      </c>
      <c r="K193" s="1" t="s">
        <v>615</v>
      </c>
      <c r="L193" s="5">
        <v>1000000</v>
      </c>
      <c r="M193" s="1" t="s">
        <v>334</v>
      </c>
    </row>
    <row r="194" spans="1:13" x14ac:dyDescent="0.25">
      <c r="A194" s="1" t="s">
        <v>470</v>
      </c>
      <c r="B194" s="1" t="s">
        <v>359</v>
      </c>
      <c r="C194" s="1" t="s">
        <v>683</v>
      </c>
      <c r="D194" s="1" t="s">
        <v>388</v>
      </c>
      <c r="E194" s="1" t="s">
        <v>16</v>
      </c>
      <c r="F194" s="1" t="s">
        <v>318</v>
      </c>
      <c r="G194" s="1" t="s">
        <v>684</v>
      </c>
      <c r="H194" s="1" t="s">
        <v>586</v>
      </c>
      <c r="I194" s="1" t="s">
        <v>685</v>
      </c>
      <c r="J194" s="1" t="s">
        <v>338</v>
      </c>
      <c r="K194" s="1" t="s">
        <v>573</v>
      </c>
      <c r="L194" s="5">
        <v>1200000</v>
      </c>
      <c r="M194" s="1" t="s">
        <v>318</v>
      </c>
    </row>
    <row r="195" spans="1:13" x14ac:dyDescent="0.25">
      <c r="A195" s="1" t="s">
        <v>7</v>
      </c>
      <c r="B195" s="1" t="s">
        <v>376</v>
      </c>
      <c r="C195" s="1" t="s">
        <v>2063</v>
      </c>
      <c r="D195" s="1" t="s">
        <v>337</v>
      </c>
      <c r="E195" s="1" t="s">
        <v>16</v>
      </c>
      <c r="F195" s="1" t="s">
        <v>724</v>
      </c>
      <c r="G195" s="1" t="s">
        <v>684</v>
      </c>
      <c r="H195" s="1" t="s">
        <v>570</v>
      </c>
      <c r="I195" s="1" t="s">
        <v>1394</v>
      </c>
      <c r="J195" s="1" t="s">
        <v>733</v>
      </c>
      <c r="K195" s="1" t="s">
        <v>16</v>
      </c>
      <c r="L195" s="5">
        <v>100000</v>
      </c>
      <c r="M195" s="1" t="s">
        <v>316</v>
      </c>
    </row>
    <row r="196" spans="1:13" x14ac:dyDescent="0.25">
      <c r="A196" s="1" t="s">
        <v>88</v>
      </c>
      <c r="B196" s="1" t="s">
        <v>325</v>
      </c>
      <c r="C196" s="1" t="s">
        <v>1568</v>
      </c>
      <c r="D196" s="1" t="s">
        <v>337</v>
      </c>
      <c r="E196" s="1" t="s">
        <v>16</v>
      </c>
      <c r="F196" s="1" t="s">
        <v>1569</v>
      </c>
      <c r="G196" s="1" t="s">
        <v>633</v>
      </c>
      <c r="H196" s="1" t="s">
        <v>570</v>
      </c>
      <c r="I196" s="1" t="s">
        <v>610</v>
      </c>
      <c r="J196" s="1" t="s">
        <v>701</v>
      </c>
      <c r="K196" s="1" t="s">
        <v>651</v>
      </c>
      <c r="L196" s="5">
        <v>150000</v>
      </c>
      <c r="M196" s="1" t="s">
        <v>23</v>
      </c>
    </row>
    <row r="197" spans="1:13" x14ac:dyDescent="0.25">
      <c r="A197" s="1" t="s">
        <v>88</v>
      </c>
      <c r="B197" s="1" t="s">
        <v>325</v>
      </c>
      <c r="C197" s="1" t="s">
        <v>1568</v>
      </c>
      <c r="D197" s="1" t="s">
        <v>337</v>
      </c>
      <c r="E197" s="1" t="s">
        <v>16</v>
      </c>
      <c r="F197" s="1" t="s">
        <v>1569</v>
      </c>
      <c r="G197" s="1" t="s">
        <v>633</v>
      </c>
      <c r="H197" s="1" t="s">
        <v>570</v>
      </c>
      <c r="I197" s="1" t="s">
        <v>1761</v>
      </c>
      <c r="J197" s="1" t="s">
        <v>23</v>
      </c>
      <c r="K197" s="1" t="s">
        <v>651</v>
      </c>
      <c r="L197" s="5">
        <v>150000</v>
      </c>
      <c r="M197" s="1" t="s">
        <v>361</v>
      </c>
    </row>
    <row r="198" spans="1:13" x14ac:dyDescent="0.25">
      <c r="A198" s="1" t="s">
        <v>356</v>
      </c>
      <c r="B198" s="1" t="s">
        <v>324</v>
      </c>
      <c r="C198" s="1" t="s">
        <v>1831</v>
      </c>
      <c r="D198" s="1" t="s">
        <v>337</v>
      </c>
      <c r="E198" s="1" t="s">
        <v>16</v>
      </c>
      <c r="F198" s="1" t="s">
        <v>340</v>
      </c>
      <c r="G198" s="1" t="s">
        <v>617</v>
      </c>
      <c r="H198" s="1" t="s">
        <v>570</v>
      </c>
      <c r="I198" s="1" t="s">
        <v>1832</v>
      </c>
      <c r="J198" s="1" t="s">
        <v>1833</v>
      </c>
      <c r="K198" s="1" t="s">
        <v>573</v>
      </c>
      <c r="L198" s="5">
        <v>800000</v>
      </c>
      <c r="M198" s="1" t="s">
        <v>340</v>
      </c>
    </row>
    <row r="199" spans="1:13" x14ac:dyDescent="0.25">
      <c r="A199" s="1" t="s">
        <v>814</v>
      </c>
      <c r="B199" s="1" t="s">
        <v>328</v>
      </c>
      <c r="C199" s="1" t="s">
        <v>815</v>
      </c>
      <c r="D199" s="1" t="s">
        <v>337</v>
      </c>
      <c r="E199" s="1" t="s">
        <v>16</v>
      </c>
      <c r="F199" s="1" t="s">
        <v>829</v>
      </c>
      <c r="G199" s="1" t="s">
        <v>684</v>
      </c>
      <c r="H199" s="1" t="s">
        <v>570</v>
      </c>
      <c r="I199" s="1" t="s">
        <v>778</v>
      </c>
      <c r="J199" s="1" t="s">
        <v>829</v>
      </c>
      <c r="K199" s="1" t="s">
        <v>573</v>
      </c>
      <c r="L199" s="5">
        <v>150000</v>
      </c>
      <c r="M199" s="1" t="s">
        <v>334</v>
      </c>
    </row>
    <row r="200" spans="1:13" x14ac:dyDescent="0.25">
      <c r="A200" s="1" t="s">
        <v>181</v>
      </c>
      <c r="B200" s="1" t="s">
        <v>331</v>
      </c>
      <c r="C200" s="1" t="s">
        <v>1328</v>
      </c>
      <c r="D200" s="1" t="s">
        <v>336</v>
      </c>
      <c r="E200" s="1" t="s">
        <v>16</v>
      </c>
      <c r="F200" s="1" t="s">
        <v>315</v>
      </c>
      <c r="G200" s="1" t="s">
        <v>612</v>
      </c>
      <c r="H200" s="1" t="s">
        <v>586</v>
      </c>
      <c r="I200" s="1" t="s">
        <v>1329</v>
      </c>
      <c r="J200" s="1" t="s">
        <v>724</v>
      </c>
      <c r="K200" s="1" t="s">
        <v>573</v>
      </c>
      <c r="L200" s="5">
        <v>500000</v>
      </c>
      <c r="M200" s="1" t="s">
        <v>315</v>
      </c>
    </row>
    <row r="201" spans="1:13" x14ac:dyDescent="0.25">
      <c r="A201" s="1" t="s">
        <v>310</v>
      </c>
      <c r="B201" s="1" t="s">
        <v>325</v>
      </c>
      <c r="C201" s="1" t="s">
        <v>1132</v>
      </c>
      <c r="D201" s="1" t="s">
        <v>336</v>
      </c>
      <c r="E201" s="1" t="s">
        <v>16</v>
      </c>
      <c r="F201" s="1" t="s">
        <v>338</v>
      </c>
      <c r="G201" s="1" t="s">
        <v>617</v>
      </c>
      <c r="H201" s="1" t="s">
        <v>570</v>
      </c>
      <c r="I201" s="1" t="s">
        <v>1133</v>
      </c>
      <c r="J201" s="1" t="s">
        <v>345</v>
      </c>
      <c r="K201" s="1" t="s">
        <v>573</v>
      </c>
      <c r="L201" s="5">
        <v>200000</v>
      </c>
      <c r="M201" s="1" t="s">
        <v>338</v>
      </c>
    </row>
    <row r="202" spans="1:13" x14ac:dyDescent="0.25">
      <c r="A202" s="1" t="s">
        <v>37</v>
      </c>
      <c r="B202" s="1" t="s">
        <v>331</v>
      </c>
      <c r="C202" s="1" t="s">
        <v>1539</v>
      </c>
      <c r="D202" s="1" t="s">
        <v>453</v>
      </c>
      <c r="E202" s="1" t="s">
        <v>368</v>
      </c>
      <c r="F202" s="1" t="s">
        <v>1540</v>
      </c>
      <c r="G202" s="1" t="s">
        <v>678</v>
      </c>
      <c r="H202" s="1" t="s">
        <v>586</v>
      </c>
      <c r="I202" s="1" t="s">
        <v>1541</v>
      </c>
      <c r="J202" s="1" t="s">
        <v>1542</v>
      </c>
      <c r="K202" s="1" t="s">
        <v>644</v>
      </c>
      <c r="L202" s="5">
        <v>250000</v>
      </c>
      <c r="M202" s="1" t="s">
        <v>23</v>
      </c>
    </row>
    <row r="203" spans="1:13" x14ac:dyDescent="0.25">
      <c r="A203" s="1" t="s">
        <v>199</v>
      </c>
      <c r="B203" s="1" t="s">
        <v>352</v>
      </c>
      <c r="C203" s="1" t="s">
        <v>939</v>
      </c>
      <c r="D203" s="1" t="s">
        <v>364</v>
      </c>
      <c r="E203" s="1" t="s">
        <v>16</v>
      </c>
      <c r="F203" s="1" t="s">
        <v>332</v>
      </c>
      <c r="G203" s="1" t="s">
        <v>641</v>
      </c>
      <c r="H203" s="1" t="s">
        <v>570</v>
      </c>
      <c r="I203" s="1" t="s">
        <v>880</v>
      </c>
      <c r="J203" s="1" t="s">
        <v>724</v>
      </c>
      <c r="K203" s="1" t="s">
        <v>644</v>
      </c>
      <c r="L203" s="5">
        <v>2500000</v>
      </c>
      <c r="M203" s="1" t="s">
        <v>332</v>
      </c>
    </row>
    <row r="204" spans="1:13" x14ac:dyDescent="0.25">
      <c r="A204" s="1" t="s">
        <v>1298</v>
      </c>
      <c r="B204" s="1" t="s">
        <v>326</v>
      </c>
      <c r="C204" s="1" t="s">
        <v>1358</v>
      </c>
      <c r="D204" s="1" t="s">
        <v>337</v>
      </c>
      <c r="E204" s="1" t="s">
        <v>16</v>
      </c>
      <c r="F204" s="1" t="s">
        <v>1359</v>
      </c>
      <c r="G204" s="1" t="s">
        <v>769</v>
      </c>
      <c r="H204" s="1" t="s">
        <v>570</v>
      </c>
      <c r="I204" s="1" t="s">
        <v>1360</v>
      </c>
      <c r="J204" s="1" t="s">
        <v>601</v>
      </c>
      <c r="K204" s="1" t="s">
        <v>16</v>
      </c>
      <c r="L204" s="5">
        <v>25000</v>
      </c>
      <c r="M204" s="1" t="s">
        <v>315</v>
      </c>
    </row>
    <row r="205" spans="1:13" x14ac:dyDescent="0.25">
      <c r="A205" s="1" t="s">
        <v>398</v>
      </c>
      <c r="B205" s="1" t="s">
        <v>326</v>
      </c>
      <c r="C205" s="1" t="s">
        <v>1648</v>
      </c>
      <c r="D205" s="1" t="s">
        <v>399</v>
      </c>
      <c r="E205" s="1" t="s">
        <v>16</v>
      </c>
      <c r="F205" s="1" t="s">
        <v>315</v>
      </c>
      <c r="G205" s="1" t="s">
        <v>791</v>
      </c>
      <c r="H205" s="1" t="s">
        <v>570</v>
      </c>
      <c r="I205" s="1" t="s">
        <v>1335</v>
      </c>
      <c r="J205" s="1" t="s">
        <v>1397</v>
      </c>
      <c r="K205" s="1" t="s">
        <v>615</v>
      </c>
      <c r="L205" s="5">
        <v>900000</v>
      </c>
      <c r="M205" s="1" t="s">
        <v>349</v>
      </c>
    </row>
    <row r="206" spans="1:13" x14ac:dyDescent="0.25">
      <c r="A206" s="1" t="s">
        <v>140</v>
      </c>
      <c r="B206" s="1" t="s">
        <v>0</v>
      </c>
      <c r="C206" s="1" t="s">
        <v>1149</v>
      </c>
      <c r="D206" s="1" t="s">
        <v>350</v>
      </c>
      <c r="E206" s="1" t="s">
        <v>16</v>
      </c>
      <c r="F206" s="1" t="s">
        <v>344</v>
      </c>
      <c r="G206" s="1" t="s">
        <v>575</v>
      </c>
      <c r="H206" s="1" t="s">
        <v>586</v>
      </c>
      <c r="I206" s="1" t="s">
        <v>1150</v>
      </c>
      <c r="J206" s="1" t="s">
        <v>1116</v>
      </c>
      <c r="K206" s="1" t="s">
        <v>588</v>
      </c>
      <c r="L206" s="5">
        <v>1200000</v>
      </c>
      <c r="M206" s="1" t="s">
        <v>344</v>
      </c>
    </row>
    <row r="207" spans="1:13" x14ac:dyDescent="0.25">
      <c r="A207" s="1" t="s">
        <v>274</v>
      </c>
      <c r="B207" s="1" t="s">
        <v>324</v>
      </c>
      <c r="C207" s="1" t="s">
        <v>1265</v>
      </c>
      <c r="D207" s="1" t="s">
        <v>337</v>
      </c>
      <c r="E207" s="1" t="s">
        <v>16</v>
      </c>
      <c r="F207" s="1" t="s">
        <v>319</v>
      </c>
      <c r="G207" s="1" t="s">
        <v>775</v>
      </c>
      <c r="H207" s="1" t="s">
        <v>16</v>
      </c>
      <c r="I207" s="1" t="s">
        <v>592</v>
      </c>
      <c r="J207" s="1" t="s">
        <v>1253</v>
      </c>
      <c r="K207" s="1" t="s">
        <v>573</v>
      </c>
      <c r="L207" s="5">
        <v>450000</v>
      </c>
      <c r="M207" s="1" t="s">
        <v>339</v>
      </c>
    </row>
    <row r="208" spans="1:13" x14ac:dyDescent="0.25">
      <c r="A208" s="1" t="s">
        <v>1146</v>
      </c>
      <c r="B208" s="1" t="s">
        <v>325</v>
      </c>
      <c r="C208" s="1" t="s">
        <v>1214</v>
      </c>
      <c r="D208" s="1" t="s">
        <v>337</v>
      </c>
      <c r="E208" s="1" t="s">
        <v>16</v>
      </c>
      <c r="F208" s="1" t="s">
        <v>344</v>
      </c>
      <c r="G208" s="1" t="s">
        <v>1158</v>
      </c>
      <c r="H208" s="1" t="s">
        <v>16</v>
      </c>
      <c r="I208" s="1" t="s">
        <v>908</v>
      </c>
      <c r="J208" s="1" t="s">
        <v>1215</v>
      </c>
      <c r="K208" s="1" t="s">
        <v>615</v>
      </c>
      <c r="L208" s="5">
        <v>25000</v>
      </c>
      <c r="M208" s="1" t="s">
        <v>344</v>
      </c>
    </row>
    <row r="209" spans="1:13" x14ac:dyDescent="0.25">
      <c r="A209" s="1" t="s">
        <v>433</v>
      </c>
      <c r="B209" s="1" t="s">
        <v>328</v>
      </c>
      <c r="C209" s="1" t="s">
        <v>2185</v>
      </c>
      <c r="D209" s="1" t="s">
        <v>391</v>
      </c>
      <c r="E209" s="1" t="s">
        <v>430</v>
      </c>
      <c r="F209" s="1" t="s">
        <v>334</v>
      </c>
      <c r="G209" s="1" t="s">
        <v>767</v>
      </c>
      <c r="H209" s="1" t="s">
        <v>586</v>
      </c>
      <c r="I209" s="1" t="s">
        <v>2186</v>
      </c>
      <c r="J209" s="1" t="s">
        <v>698</v>
      </c>
      <c r="K209" s="1" t="s">
        <v>573</v>
      </c>
      <c r="L209" s="5">
        <v>1000000</v>
      </c>
      <c r="M209" s="1" t="s">
        <v>383</v>
      </c>
    </row>
    <row r="210" spans="1:13" x14ac:dyDescent="0.25">
      <c r="A210" s="1" t="s">
        <v>502</v>
      </c>
      <c r="B210" s="1" t="s">
        <v>330</v>
      </c>
      <c r="C210" s="1" t="s">
        <v>2163</v>
      </c>
      <c r="D210" s="1" t="s">
        <v>503</v>
      </c>
      <c r="E210" s="1" t="s">
        <v>368</v>
      </c>
      <c r="F210" s="1" t="s">
        <v>2164</v>
      </c>
      <c r="G210" s="1" t="s">
        <v>791</v>
      </c>
      <c r="H210" s="1" t="s">
        <v>570</v>
      </c>
      <c r="I210" s="1" t="s">
        <v>880</v>
      </c>
      <c r="J210" s="1" t="s">
        <v>2165</v>
      </c>
      <c r="K210" s="1" t="s">
        <v>573</v>
      </c>
      <c r="L210" s="5">
        <v>300000</v>
      </c>
      <c r="M210" s="1" t="s">
        <v>383</v>
      </c>
    </row>
    <row r="211" spans="1:13" x14ac:dyDescent="0.25">
      <c r="A211" s="1" t="s">
        <v>49</v>
      </c>
      <c r="B211" s="1" t="s">
        <v>382</v>
      </c>
      <c r="C211" s="1" t="s">
        <v>2220</v>
      </c>
      <c r="D211" s="1" t="s">
        <v>370</v>
      </c>
      <c r="E211" s="1" t="s">
        <v>333</v>
      </c>
      <c r="F211" s="1" t="s">
        <v>724</v>
      </c>
      <c r="G211" s="1" t="s">
        <v>675</v>
      </c>
      <c r="H211" s="1" t="s">
        <v>570</v>
      </c>
      <c r="I211" s="1" t="s">
        <v>2221</v>
      </c>
      <c r="J211" s="1" t="s">
        <v>724</v>
      </c>
      <c r="K211" s="1" t="s">
        <v>16</v>
      </c>
      <c r="L211" s="5">
        <v>200000</v>
      </c>
      <c r="M211" s="1" t="s">
        <v>348</v>
      </c>
    </row>
    <row r="212" spans="1:13" x14ac:dyDescent="0.25">
      <c r="A212" s="1" t="s">
        <v>197</v>
      </c>
      <c r="B212" s="1" t="s">
        <v>331</v>
      </c>
      <c r="C212" s="1" t="s">
        <v>924</v>
      </c>
      <c r="D212" s="1" t="s">
        <v>394</v>
      </c>
      <c r="E212" s="1" t="s">
        <v>16</v>
      </c>
      <c r="F212" s="1" t="s">
        <v>332</v>
      </c>
      <c r="G212" s="1" t="s">
        <v>656</v>
      </c>
      <c r="H212" s="1" t="s">
        <v>586</v>
      </c>
      <c r="I212" s="1" t="s">
        <v>874</v>
      </c>
      <c r="J212" s="1" t="s">
        <v>875</v>
      </c>
      <c r="K212" s="1" t="s">
        <v>578</v>
      </c>
      <c r="L212" s="5">
        <v>1200000</v>
      </c>
      <c r="M212" s="1" t="s">
        <v>332</v>
      </c>
    </row>
    <row r="213" spans="1:13" x14ac:dyDescent="0.25">
      <c r="A213" s="1" t="s">
        <v>1700</v>
      </c>
      <c r="B213" s="1" t="s">
        <v>357</v>
      </c>
      <c r="C213" s="1" t="s">
        <v>760</v>
      </c>
      <c r="D213" s="1" t="s">
        <v>549</v>
      </c>
      <c r="E213" s="1" t="s">
        <v>16</v>
      </c>
      <c r="F213" s="1" t="s">
        <v>1701</v>
      </c>
      <c r="G213" s="1" t="s">
        <v>722</v>
      </c>
      <c r="H213" s="1" t="s">
        <v>586</v>
      </c>
      <c r="I213" s="1" t="s">
        <v>882</v>
      </c>
      <c r="J213" s="1" t="s">
        <v>1702</v>
      </c>
      <c r="K213" s="1" t="s">
        <v>573</v>
      </c>
      <c r="L213" s="5">
        <v>100000</v>
      </c>
      <c r="M213" s="1" t="s">
        <v>361</v>
      </c>
    </row>
    <row r="214" spans="1:13" x14ac:dyDescent="0.25">
      <c r="A214" s="1" t="s">
        <v>1290</v>
      </c>
      <c r="B214" s="1" t="s">
        <v>382</v>
      </c>
      <c r="C214" s="1" t="s">
        <v>1309</v>
      </c>
      <c r="D214" s="1" t="s">
        <v>336</v>
      </c>
      <c r="E214" s="1" t="s">
        <v>16</v>
      </c>
      <c r="F214" s="1" t="s">
        <v>1210</v>
      </c>
      <c r="G214" s="1" t="s">
        <v>675</v>
      </c>
      <c r="H214" s="1" t="s">
        <v>570</v>
      </c>
      <c r="I214" s="1" t="s">
        <v>1310</v>
      </c>
      <c r="J214" s="1" t="s">
        <v>1311</v>
      </c>
      <c r="K214" s="1" t="s">
        <v>573</v>
      </c>
      <c r="L214" s="5">
        <v>350000</v>
      </c>
      <c r="M214" s="1" t="s">
        <v>315</v>
      </c>
    </row>
    <row r="215" spans="1:13" x14ac:dyDescent="0.25">
      <c r="A215" s="1" t="s">
        <v>59</v>
      </c>
      <c r="B215" s="1" t="s">
        <v>0</v>
      </c>
      <c r="C215" s="1" t="s">
        <v>1379</v>
      </c>
      <c r="D215" s="1" t="s">
        <v>337</v>
      </c>
      <c r="E215" s="1" t="s">
        <v>16</v>
      </c>
      <c r="F215" s="1" t="s">
        <v>724</v>
      </c>
      <c r="G215" s="1" t="s">
        <v>1380</v>
      </c>
      <c r="H215" s="1" t="s">
        <v>586</v>
      </c>
      <c r="I215" s="1" t="s">
        <v>1381</v>
      </c>
      <c r="J215" s="1" t="s">
        <v>845</v>
      </c>
      <c r="K215" s="1" t="s">
        <v>16</v>
      </c>
      <c r="L215" s="5">
        <v>250000</v>
      </c>
      <c r="M215" s="1" t="s">
        <v>317</v>
      </c>
    </row>
    <row r="216" spans="1:13" x14ac:dyDescent="0.25">
      <c r="A216" s="1" t="s">
        <v>216</v>
      </c>
      <c r="B216" s="1" t="s">
        <v>324</v>
      </c>
      <c r="C216" s="1" t="s">
        <v>1187</v>
      </c>
      <c r="D216" s="1" t="s">
        <v>337</v>
      </c>
      <c r="E216" s="1" t="s">
        <v>16</v>
      </c>
      <c r="F216" s="1" t="s">
        <v>344</v>
      </c>
      <c r="G216" s="1" t="s">
        <v>668</v>
      </c>
      <c r="H216" s="1" t="s">
        <v>605</v>
      </c>
      <c r="I216" s="1" t="s">
        <v>606</v>
      </c>
      <c r="J216" s="1" t="s">
        <v>319</v>
      </c>
      <c r="K216" s="1" t="s">
        <v>615</v>
      </c>
      <c r="L216" s="5">
        <v>800000</v>
      </c>
      <c r="M216" s="1" t="s">
        <v>344</v>
      </c>
    </row>
    <row r="217" spans="1:13" x14ac:dyDescent="0.25">
      <c r="A217" s="1" t="s">
        <v>216</v>
      </c>
      <c r="B217" s="1" t="s">
        <v>324</v>
      </c>
      <c r="C217" s="1" t="s">
        <v>1187</v>
      </c>
      <c r="D217" s="1" t="s">
        <v>337</v>
      </c>
      <c r="E217" s="1" t="s">
        <v>16</v>
      </c>
      <c r="F217" s="1" t="s">
        <v>344</v>
      </c>
      <c r="G217" s="1" t="s">
        <v>668</v>
      </c>
      <c r="H217" s="1" t="s">
        <v>605</v>
      </c>
      <c r="I217" s="1" t="s">
        <v>610</v>
      </c>
      <c r="J217" s="1" t="s">
        <v>1107</v>
      </c>
      <c r="K217" s="1" t="s">
        <v>615</v>
      </c>
      <c r="L217" s="5">
        <v>800000</v>
      </c>
      <c r="M217" s="1" t="s">
        <v>319</v>
      </c>
    </row>
    <row r="218" spans="1:13" x14ac:dyDescent="0.25">
      <c r="A218" s="1" t="s">
        <v>1063</v>
      </c>
      <c r="B218" s="1" t="s">
        <v>382</v>
      </c>
      <c r="C218" s="1" t="s">
        <v>1064</v>
      </c>
      <c r="D218" s="1" t="s">
        <v>335</v>
      </c>
      <c r="E218" s="1" t="s">
        <v>16</v>
      </c>
      <c r="F218" s="1" t="s">
        <v>338</v>
      </c>
      <c r="G218" s="1" t="s">
        <v>675</v>
      </c>
      <c r="H218" s="1" t="s">
        <v>16</v>
      </c>
      <c r="I218" s="1" t="s">
        <v>1065</v>
      </c>
      <c r="J218" s="1" t="s">
        <v>1066</v>
      </c>
      <c r="K218" s="1" t="s">
        <v>615</v>
      </c>
      <c r="L218" s="5">
        <v>600000</v>
      </c>
      <c r="M218" s="1" t="s">
        <v>338</v>
      </c>
    </row>
    <row r="219" spans="1:13" x14ac:dyDescent="0.25">
      <c r="A219" s="1" t="s">
        <v>416</v>
      </c>
      <c r="B219" s="1" t="s">
        <v>325</v>
      </c>
      <c r="C219" s="1" t="s">
        <v>1451</v>
      </c>
      <c r="D219" s="1" t="s">
        <v>333</v>
      </c>
      <c r="E219" s="1" t="s">
        <v>16</v>
      </c>
      <c r="F219" s="1" t="s">
        <v>1407</v>
      </c>
      <c r="G219" s="1" t="s">
        <v>617</v>
      </c>
      <c r="H219" s="1" t="s">
        <v>570</v>
      </c>
      <c r="I219" s="1" t="s">
        <v>1452</v>
      </c>
      <c r="J219" s="1" t="s">
        <v>1270</v>
      </c>
      <c r="K219" s="1" t="s">
        <v>578</v>
      </c>
      <c r="L219" s="5">
        <v>700000</v>
      </c>
      <c r="M219" s="1" t="s">
        <v>317</v>
      </c>
    </row>
    <row r="220" spans="1:13" x14ac:dyDescent="0.25">
      <c r="A220" s="1" t="s">
        <v>160</v>
      </c>
      <c r="B220" s="1" t="s">
        <v>359</v>
      </c>
      <c r="C220" s="1" t="s">
        <v>1020</v>
      </c>
      <c r="D220" s="1" t="s">
        <v>337</v>
      </c>
      <c r="E220" s="1" t="s">
        <v>16</v>
      </c>
      <c r="F220" s="1" t="s">
        <v>912</v>
      </c>
      <c r="G220" s="1" t="s">
        <v>775</v>
      </c>
      <c r="H220" s="1" t="s">
        <v>605</v>
      </c>
      <c r="I220" s="1" t="s">
        <v>624</v>
      </c>
      <c r="J220" s="1" t="s">
        <v>985</v>
      </c>
      <c r="K220" s="1" t="s">
        <v>615</v>
      </c>
      <c r="L220" s="5">
        <v>250000</v>
      </c>
      <c r="M220" s="1" t="s">
        <v>341</v>
      </c>
    </row>
    <row r="221" spans="1:13" x14ac:dyDescent="0.25">
      <c r="A221" s="1" t="s">
        <v>2202</v>
      </c>
      <c r="B221" s="1" t="s">
        <v>325</v>
      </c>
      <c r="C221" s="1" t="s">
        <v>2203</v>
      </c>
      <c r="D221" s="1" t="s">
        <v>337</v>
      </c>
      <c r="E221" s="1" t="s">
        <v>16</v>
      </c>
      <c r="F221" s="1" t="s">
        <v>348</v>
      </c>
      <c r="G221" s="1" t="s">
        <v>660</v>
      </c>
      <c r="H221" s="1" t="s">
        <v>570</v>
      </c>
      <c r="I221" s="1" t="s">
        <v>618</v>
      </c>
      <c r="J221" s="1" t="s">
        <v>334</v>
      </c>
      <c r="K221" s="1" t="s">
        <v>573</v>
      </c>
      <c r="L221" s="5">
        <v>150000</v>
      </c>
      <c r="M221" s="1" t="s">
        <v>383</v>
      </c>
    </row>
    <row r="222" spans="1:13" x14ac:dyDescent="0.25">
      <c r="A222" s="1" t="s">
        <v>514</v>
      </c>
      <c r="B222" s="1" t="s">
        <v>382</v>
      </c>
      <c r="C222" s="1" t="s">
        <v>1203</v>
      </c>
      <c r="D222" s="1" t="s">
        <v>333</v>
      </c>
      <c r="E222" s="1" t="s">
        <v>16</v>
      </c>
      <c r="F222" s="1" t="s">
        <v>1791</v>
      </c>
      <c r="G222" s="1" t="s">
        <v>609</v>
      </c>
      <c r="H222" s="1" t="s">
        <v>570</v>
      </c>
      <c r="I222" s="1" t="s">
        <v>1376</v>
      </c>
      <c r="J222" s="1" t="s">
        <v>1479</v>
      </c>
      <c r="K222" s="1" t="s">
        <v>658</v>
      </c>
      <c r="L222" s="5">
        <v>400000</v>
      </c>
      <c r="M222" s="1" t="s">
        <v>340</v>
      </c>
    </row>
    <row r="223" spans="1:13" x14ac:dyDescent="0.25">
      <c r="A223" s="1" t="s">
        <v>1247</v>
      </c>
      <c r="B223" s="1" t="s">
        <v>382</v>
      </c>
      <c r="C223" s="1" t="s">
        <v>1248</v>
      </c>
      <c r="D223" s="1" t="s">
        <v>337</v>
      </c>
      <c r="E223" s="1" t="s">
        <v>16</v>
      </c>
      <c r="F223" s="1" t="s">
        <v>339</v>
      </c>
      <c r="G223" s="1" t="s">
        <v>675</v>
      </c>
      <c r="H223" s="1" t="s">
        <v>586</v>
      </c>
      <c r="I223" s="1" t="s">
        <v>735</v>
      </c>
      <c r="J223" s="1" t="s">
        <v>1249</v>
      </c>
      <c r="K223" s="1" t="s">
        <v>615</v>
      </c>
      <c r="L223" s="5">
        <v>25000</v>
      </c>
      <c r="M223" s="1" t="s">
        <v>339</v>
      </c>
    </row>
    <row r="224" spans="1:13" x14ac:dyDescent="0.25">
      <c r="A224" s="1" t="s">
        <v>484</v>
      </c>
      <c r="B224" s="1" t="s">
        <v>331</v>
      </c>
      <c r="C224" s="1" t="s">
        <v>652</v>
      </c>
      <c r="D224" s="1" t="s">
        <v>430</v>
      </c>
      <c r="E224" s="1" t="s">
        <v>401</v>
      </c>
      <c r="F224" s="1" t="s">
        <v>318</v>
      </c>
      <c r="G224" s="1" t="s">
        <v>633</v>
      </c>
      <c r="H224" s="1" t="s">
        <v>570</v>
      </c>
      <c r="I224" s="1" t="s">
        <v>653</v>
      </c>
      <c r="J224" s="1" t="s">
        <v>654</v>
      </c>
      <c r="K224" s="1" t="s">
        <v>615</v>
      </c>
      <c r="L224" s="5">
        <v>900000</v>
      </c>
      <c r="M224" s="1" t="s">
        <v>318</v>
      </c>
    </row>
    <row r="225" spans="1:13" x14ac:dyDescent="0.25">
      <c r="A225" s="1" t="s">
        <v>991</v>
      </c>
      <c r="B225" s="1" t="s">
        <v>382</v>
      </c>
      <c r="C225" s="1" t="s">
        <v>992</v>
      </c>
      <c r="D225" s="1" t="s">
        <v>337</v>
      </c>
      <c r="E225" s="1" t="s">
        <v>16</v>
      </c>
      <c r="F225" s="1" t="s">
        <v>383</v>
      </c>
      <c r="G225" s="1" t="s">
        <v>617</v>
      </c>
      <c r="H225" s="1" t="s">
        <v>570</v>
      </c>
      <c r="I225" s="1" t="s">
        <v>993</v>
      </c>
      <c r="J225" s="1" t="s">
        <v>994</v>
      </c>
      <c r="K225" s="1" t="s">
        <v>615</v>
      </c>
      <c r="L225" s="5">
        <v>400000</v>
      </c>
      <c r="M225" s="1" t="s">
        <v>341</v>
      </c>
    </row>
    <row r="226" spans="1:13" x14ac:dyDescent="0.25">
      <c r="A226" s="1" t="s">
        <v>522</v>
      </c>
      <c r="B226" s="1" t="s">
        <v>331</v>
      </c>
      <c r="C226" s="1" t="s">
        <v>927</v>
      </c>
      <c r="D226" s="1" t="s">
        <v>337</v>
      </c>
      <c r="E226" s="1" t="s">
        <v>16</v>
      </c>
      <c r="F226" s="1" t="s">
        <v>383</v>
      </c>
      <c r="G226" s="1" t="s">
        <v>609</v>
      </c>
      <c r="H226" s="1" t="s">
        <v>16</v>
      </c>
      <c r="I226" s="1" t="s">
        <v>610</v>
      </c>
      <c r="J226" s="1" t="s">
        <v>344</v>
      </c>
      <c r="K226" s="1" t="s">
        <v>578</v>
      </c>
      <c r="L226" s="5">
        <v>300000</v>
      </c>
      <c r="M226" s="1" t="s">
        <v>332</v>
      </c>
    </row>
    <row r="227" spans="1:13" x14ac:dyDescent="0.25">
      <c r="A227" s="1" t="s">
        <v>694</v>
      </c>
      <c r="B227" s="1" t="s">
        <v>324</v>
      </c>
      <c r="C227" s="1" t="s">
        <v>695</v>
      </c>
      <c r="D227" s="1" t="s">
        <v>337</v>
      </c>
      <c r="E227" s="1" t="s">
        <v>16</v>
      </c>
      <c r="F227" s="1" t="s">
        <v>318</v>
      </c>
      <c r="G227" s="1" t="s">
        <v>660</v>
      </c>
      <c r="H227" s="1" t="s">
        <v>605</v>
      </c>
      <c r="I227" s="1" t="s">
        <v>634</v>
      </c>
      <c r="J227" s="1" t="s">
        <v>577</v>
      </c>
      <c r="K227" s="1" t="s">
        <v>588</v>
      </c>
      <c r="L227" s="5">
        <v>25000</v>
      </c>
      <c r="M227" s="1" t="s">
        <v>318</v>
      </c>
    </row>
    <row r="228" spans="1:13" x14ac:dyDescent="0.25">
      <c r="A228" s="1" t="s">
        <v>114</v>
      </c>
      <c r="B228" s="1" t="s">
        <v>328</v>
      </c>
      <c r="C228" s="1" t="s">
        <v>1109</v>
      </c>
      <c r="D228" s="1" t="s">
        <v>363</v>
      </c>
      <c r="E228" s="1" t="s">
        <v>347</v>
      </c>
      <c r="F228" s="1" t="s">
        <v>338</v>
      </c>
      <c r="G228" s="1" t="s">
        <v>684</v>
      </c>
      <c r="H228" s="1" t="s">
        <v>586</v>
      </c>
      <c r="I228" s="1" t="s">
        <v>618</v>
      </c>
      <c r="J228" s="1" t="s">
        <v>1110</v>
      </c>
      <c r="K228" s="1" t="s">
        <v>588</v>
      </c>
      <c r="L228" s="5">
        <v>900000</v>
      </c>
      <c r="M228" s="1" t="s">
        <v>338</v>
      </c>
    </row>
    <row r="229" spans="1:13" x14ac:dyDescent="0.25">
      <c r="A229" s="1" t="s">
        <v>904</v>
      </c>
      <c r="B229" s="1" t="s">
        <v>325</v>
      </c>
      <c r="C229" s="1" t="s">
        <v>967</v>
      </c>
      <c r="D229" s="1" t="s">
        <v>548</v>
      </c>
      <c r="E229" s="1" t="s">
        <v>16</v>
      </c>
      <c r="F229" s="1" t="s">
        <v>968</v>
      </c>
      <c r="G229" s="1" t="s">
        <v>633</v>
      </c>
      <c r="H229" s="1" t="s">
        <v>570</v>
      </c>
      <c r="I229" s="1" t="s">
        <v>969</v>
      </c>
      <c r="J229" s="1" t="s">
        <v>970</v>
      </c>
      <c r="K229" s="1" t="s">
        <v>573</v>
      </c>
      <c r="L229" s="5">
        <v>900000</v>
      </c>
      <c r="M229" s="1" t="s">
        <v>332</v>
      </c>
    </row>
    <row r="230" spans="1:13" x14ac:dyDescent="0.25">
      <c r="A230" s="1" t="s">
        <v>520</v>
      </c>
      <c r="B230" s="1" t="s">
        <v>330</v>
      </c>
      <c r="C230" s="1" t="s">
        <v>1829</v>
      </c>
      <c r="D230" s="1" t="s">
        <v>499</v>
      </c>
      <c r="E230" s="1" t="s">
        <v>16</v>
      </c>
      <c r="F230" s="1" t="s">
        <v>1830</v>
      </c>
      <c r="G230" s="1" t="s">
        <v>791</v>
      </c>
      <c r="H230" s="1" t="s">
        <v>570</v>
      </c>
      <c r="I230" s="1" t="s">
        <v>1209</v>
      </c>
      <c r="J230" s="1" t="s">
        <v>629</v>
      </c>
      <c r="K230" s="1" t="s">
        <v>615</v>
      </c>
      <c r="L230" s="5">
        <v>750000</v>
      </c>
      <c r="M230" s="1" t="s">
        <v>340</v>
      </c>
    </row>
    <row r="231" spans="1:13" x14ac:dyDescent="0.25">
      <c r="A231" s="1" t="s">
        <v>1443</v>
      </c>
      <c r="B231" s="1" t="s">
        <v>328</v>
      </c>
      <c r="C231" s="1" t="s">
        <v>1444</v>
      </c>
      <c r="D231" s="1" t="s">
        <v>385</v>
      </c>
      <c r="E231" s="1" t="s">
        <v>16</v>
      </c>
      <c r="F231" s="1" t="s">
        <v>1445</v>
      </c>
      <c r="G231" s="1" t="s">
        <v>812</v>
      </c>
      <c r="H231" s="1" t="s">
        <v>586</v>
      </c>
      <c r="I231" s="1" t="s">
        <v>1446</v>
      </c>
      <c r="J231" s="1" t="s">
        <v>1447</v>
      </c>
      <c r="K231" s="1" t="s">
        <v>573</v>
      </c>
      <c r="L231" s="5">
        <v>150000</v>
      </c>
      <c r="M231" s="1" t="s">
        <v>317</v>
      </c>
    </row>
    <row r="232" spans="1:13" x14ac:dyDescent="0.25">
      <c r="A232" s="1" t="s">
        <v>76</v>
      </c>
      <c r="B232" s="1" t="s">
        <v>382</v>
      </c>
      <c r="C232" s="1" t="s">
        <v>1681</v>
      </c>
      <c r="D232" s="1" t="s">
        <v>333</v>
      </c>
      <c r="E232" s="1" t="s">
        <v>16</v>
      </c>
      <c r="F232" s="1" t="s">
        <v>361</v>
      </c>
      <c r="G232" s="1" t="s">
        <v>609</v>
      </c>
      <c r="H232" s="1" t="s">
        <v>570</v>
      </c>
      <c r="I232" s="1" t="s">
        <v>618</v>
      </c>
      <c r="J232" s="1" t="s">
        <v>345</v>
      </c>
      <c r="K232" s="1" t="s">
        <v>573</v>
      </c>
      <c r="L232" s="5">
        <v>400000</v>
      </c>
      <c r="M232" s="1" t="s">
        <v>361</v>
      </c>
    </row>
    <row r="233" spans="1:13" x14ac:dyDescent="0.25">
      <c r="A233" s="1" t="s">
        <v>77</v>
      </c>
      <c r="B233" s="1" t="s">
        <v>382</v>
      </c>
      <c r="C233" s="1" t="s">
        <v>1685</v>
      </c>
      <c r="D233" s="1" t="s">
        <v>364</v>
      </c>
      <c r="E233" s="1" t="s">
        <v>16</v>
      </c>
      <c r="F233" s="1" t="s">
        <v>724</v>
      </c>
      <c r="G233" s="1" t="s">
        <v>575</v>
      </c>
      <c r="H233" s="1" t="s">
        <v>570</v>
      </c>
      <c r="I233" s="1" t="s">
        <v>872</v>
      </c>
      <c r="J233" s="1" t="s">
        <v>840</v>
      </c>
      <c r="K233" s="1" t="s">
        <v>16</v>
      </c>
      <c r="L233" s="5">
        <v>250000</v>
      </c>
      <c r="M233" s="1" t="s">
        <v>361</v>
      </c>
    </row>
    <row r="234" spans="1:13" x14ac:dyDescent="0.25">
      <c r="A234" s="1" t="s">
        <v>302</v>
      </c>
      <c r="B234" s="1" t="s">
        <v>324</v>
      </c>
      <c r="C234" s="1" t="s">
        <v>886</v>
      </c>
      <c r="D234" s="1" t="s">
        <v>333</v>
      </c>
      <c r="E234" s="1" t="s">
        <v>16</v>
      </c>
      <c r="F234" s="1" t="s">
        <v>332</v>
      </c>
      <c r="G234" s="1" t="s">
        <v>678</v>
      </c>
      <c r="H234" s="1" t="s">
        <v>570</v>
      </c>
      <c r="I234" s="1" t="s">
        <v>887</v>
      </c>
      <c r="J234" s="1" t="s">
        <v>888</v>
      </c>
      <c r="K234" s="1" t="s">
        <v>588</v>
      </c>
      <c r="L234" s="5">
        <v>4000000</v>
      </c>
      <c r="M234" s="1" t="s">
        <v>332</v>
      </c>
    </row>
    <row r="235" spans="1:13" x14ac:dyDescent="0.25">
      <c r="A235" s="1" t="s">
        <v>899</v>
      </c>
      <c r="B235" s="1" t="s">
        <v>330</v>
      </c>
      <c r="C235" s="1" t="s">
        <v>937</v>
      </c>
      <c r="D235" s="1" t="s">
        <v>337</v>
      </c>
      <c r="E235" s="1" t="s">
        <v>16</v>
      </c>
      <c r="F235" s="1" t="s">
        <v>898</v>
      </c>
      <c r="G235" s="1" t="s">
        <v>660</v>
      </c>
      <c r="H235" s="1" t="s">
        <v>570</v>
      </c>
      <c r="I235" s="1" t="s">
        <v>938</v>
      </c>
      <c r="J235" s="1" t="s">
        <v>731</v>
      </c>
      <c r="K235" s="1" t="s">
        <v>16</v>
      </c>
      <c r="L235" s="5">
        <v>400000</v>
      </c>
      <c r="M235" s="1" t="s">
        <v>332</v>
      </c>
    </row>
    <row r="236" spans="1:13" x14ac:dyDescent="0.25">
      <c r="A236" s="1" t="s">
        <v>99</v>
      </c>
      <c r="B236" s="1" t="s">
        <v>326</v>
      </c>
      <c r="C236" s="1" t="s">
        <v>809</v>
      </c>
      <c r="D236" s="1" t="s">
        <v>337</v>
      </c>
      <c r="E236" s="1" t="s">
        <v>16</v>
      </c>
      <c r="F236" s="1" t="s">
        <v>334</v>
      </c>
      <c r="G236" s="1" t="s">
        <v>810</v>
      </c>
      <c r="H236" s="1" t="s">
        <v>570</v>
      </c>
      <c r="I236" s="1" t="s">
        <v>763</v>
      </c>
      <c r="J236" s="1" t="s">
        <v>829</v>
      </c>
      <c r="K236" s="1" t="s">
        <v>615</v>
      </c>
      <c r="L236" s="5">
        <v>100000</v>
      </c>
      <c r="M236" s="1" t="s">
        <v>334</v>
      </c>
    </row>
    <row r="237" spans="1:13" x14ac:dyDescent="0.25">
      <c r="A237" s="1" t="s">
        <v>201</v>
      </c>
      <c r="B237" s="1" t="s">
        <v>325</v>
      </c>
      <c r="C237" s="1" t="s">
        <v>966</v>
      </c>
      <c r="D237" s="1" t="s">
        <v>337</v>
      </c>
      <c r="E237" s="1" t="s">
        <v>16</v>
      </c>
      <c r="F237" s="1" t="s">
        <v>847</v>
      </c>
      <c r="G237" s="1" t="s">
        <v>660</v>
      </c>
      <c r="H237" s="1" t="s">
        <v>570</v>
      </c>
      <c r="I237" s="1" t="s">
        <v>975</v>
      </c>
      <c r="J237" s="1" t="s">
        <v>338</v>
      </c>
      <c r="K237" s="1" t="s">
        <v>615</v>
      </c>
      <c r="L237" s="5">
        <v>200000</v>
      </c>
      <c r="M237" s="1" t="s">
        <v>332</v>
      </c>
    </row>
    <row r="238" spans="1:13" x14ac:dyDescent="0.25">
      <c r="A238" s="1" t="s">
        <v>158</v>
      </c>
      <c r="B238" s="1" t="s">
        <v>376</v>
      </c>
      <c r="C238" s="1" t="s">
        <v>1000</v>
      </c>
      <c r="D238" s="1" t="s">
        <v>337</v>
      </c>
      <c r="E238" s="1" t="s">
        <v>16</v>
      </c>
      <c r="F238" s="1" t="s">
        <v>338</v>
      </c>
      <c r="G238" s="1" t="s">
        <v>656</v>
      </c>
      <c r="H238" s="1" t="s">
        <v>570</v>
      </c>
      <c r="I238" s="1" t="s">
        <v>1001</v>
      </c>
      <c r="J238" s="1" t="s">
        <v>383</v>
      </c>
      <c r="K238" s="1" t="s">
        <v>578</v>
      </c>
      <c r="L238" s="5">
        <v>700000</v>
      </c>
      <c r="M238" s="1" t="s">
        <v>341</v>
      </c>
    </row>
    <row r="239" spans="1:13" x14ac:dyDescent="0.25">
      <c r="A239" s="1" t="s">
        <v>2191</v>
      </c>
      <c r="B239" s="1" t="s">
        <v>328</v>
      </c>
      <c r="C239" s="1" t="s">
        <v>2192</v>
      </c>
      <c r="D239" s="1" t="s">
        <v>337</v>
      </c>
      <c r="E239" s="1" t="s">
        <v>16</v>
      </c>
      <c r="F239" s="1" t="s">
        <v>383</v>
      </c>
      <c r="G239" s="1" t="s">
        <v>769</v>
      </c>
      <c r="H239" s="1" t="s">
        <v>570</v>
      </c>
      <c r="I239" s="1" t="s">
        <v>2193</v>
      </c>
      <c r="J239" s="1" t="s">
        <v>854</v>
      </c>
      <c r="K239" s="1" t="s">
        <v>573</v>
      </c>
      <c r="L239" s="5">
        <v>50000</v>
      </c>
      <c r="M239" s="1" t="s">
        <v>383</v>
      </c>
    </row>
    <row r="240" spans="1:13" x14ac:dyDescent="0.25">
      <c r="A240" s="1" t="s">
        <v>156</v>
      </c>
      <c r="B240" s="1" t="s">
        <v>0</v>
      </c>
      <c r="C240" s="1" t="s">
        <v>977</v>
      </c>
      <c r="D240" s="1" t="s">
        <v>337</v>
      </c>
      <c r="E240" s="1" t="s">
        <v>16</v>
      </c>
      <c r="F240" s="1" t="s">
        <v>915</v>
      </c>
      <c r="G240" s="1" t="s">
        <v>675</v>
      </c>
      <c r="H240" s="1" t="s">
        <v>586</v>
      </c>
      <c r="I240" s="1" t="s">
        <v>978</v>
      </c>
      <c r="J240" s="1" t="s">
        <v>979</v>
      </c>
      <c r="K240" s="1" t="s">
        <v>573</v>
      </c>
      <c r="L240" s="5">
        <v>200000</v>
      </c>
      <c r="M240" s="1" t="s">
        <v>341</v>
      </c>
    </row>
    <row r="241" spans="1:13" x14ac:dyDescent="0.25">
      <c r="A241" s="1" t="s">
        <v>403</v>
      </c>
      <c r="B241" s="1" t="s">
        <v>382</v>
      </c>
      <c r="C241" s="1" t="s">
        <v>1156</v>
      </c>
      <c r="D241" s="1" t="s">
        <v>337</v>
      </c>
      <c r="E241" s="1" t="s">
        <v>16</v>
      </c>
      <c r="F241" s="1" t="s">
        <v>344</v>
      </c>
      <c r="G241" s="1" t="s">
        <v>660</v>
      </c>
      <c r="H241" s="1" t="s">
        <v>605</v>
      </c>
      <c r="I241" s="1" t="s">
        <v>610</v>
      </c>
      <c r="J241" s="1" t="s">
        <v>318</v>
      </c>
      <c r="K241" s="1" t="s">
        <v>615</v>
      </c>
      <c r="L241" s="5">
        <v>600000</v>
      </c>
      <c r="M241" s="1" t="s">
        <v>344</v>
      </c>
    </row>
    <row r="242" spans="1:13" x14ac:dyDescent="0.25">
      <c r="A242" s="1" t="s">
        <v>1523</v>
      </c>
      <c r="B242" s="1" t="s">
        <v>382</v>
      </c>
      <c r="C242" s="1" t="s">
        <v>1524</v>
      </c>
      <c r="D242" s="1" t="s">
        <v>337</v>
      </c>
      <c r="E242" s="1" t="s">
        <v>16</v>
      </c>
      <c r="F242" s="1" t="s">
        <v>1525</v>
      </c>
      <c r="G242" s="1" t="s">
        <v>633</v>
      </c>
      <c r="H242" s="1" t="s">
        <v>16</v>
      </c>
      <c r="I242" s="1" t="s">
        <v>1526</v>
      </c>
      <c r="J242" s="1" t="s">
        <v>1302</v>
      </c>
      <c r="K242" s="1" t="s">
        <v>573</v>
      </c>
      <c r="L242" s="5">
        <v>25000</v>
      </c>
      <c r="M242" s="1" t="s">
        <v>23</v>
      </c>
    </row>
    <row r="243" spans="1:13" x14ac:dyDescent="0.25">
      <c r="A243" s="1" t="s">
        <v>141</v>
      </c>
      <c r="B243" s="1" t="s">
        <v>357</v>
      </c>
      <c r="C243" s="1" t="s">
        <v>1164</v>
      </c>
      <c r="D243" s="1" t="s">
        <v>350</v>
      </c>
      <c r="E243" s="1" t="s">
        <v>16</v>
      </c>
      <c r="F243" s="1" t="s">
        <v>344</v>
      </c>
      <c r="G243" s="1" t="s">
        <v>684</v>
      </c>
      <c r="H243" s="1" t="s">
        <v>586</v>
      </c>
      <c r="I243" s="1" t="s">
        <v>597</v>
      </c>
      <c r="J243" s="1" t="s">
        <v>1024</v>
      </c>
      <c r="K243" s="1" t="s">
        <v>615</v>
      </c>
      <c r="L243" s="5">
        <v>450000</v>
      </c>
      <c r="M243" s="1" t="s">
        <v>344</v>
      </c>
    </row>
    <row r="244" spans="1:13" x14ac:dyDescent="0.25">
      <c r="A244" s="1" t="s">
        <v>223</v>
      </c>
      <c r="B244" s="1" t="s">
        <v>376</v>
      </c>
      <c r="C244" s="1" t="s">
        <v>1976</v>
      </c>
      <c r="D244" s="1" t="s">
        <v>337</v>
      </c>
      <c r="E244" s="1" t="s">
        <v>16</v>
      </c>
      <c r="F244" s="1" t="s">
        <v>701</v>
      </c>
      <c r="G244" s="1" t="s">
        <v>660</v>
      </c>
      <c r="H244" s="1" t="s">
        <v>570</v>
      </c>
      <c r="I244" s="1" t="s">
        <v>1271</v>
      </c>
      <c r="J244" s="1" t="s">
        <v>1977</v>
      </c>
      <c r="K244" s="1" t="s">
        <v>615</v>
      </c>
      <c r="L244" s="5">
        <v>200000</v>
      </c>
      <c r="M244" s="1" t="s">
        <v>345</v>
      </c>
    </row>
    <row r="245" spans="1:13" x14ac:dyDescent="0.25">
      <c r="A245" s="1" t="s">
        <v>2108</v>
      </c>
      <c r="B245" s="1" t="s">
        <v>328</v>
      </c>
      <c r="C245" s="1" t="s">
        <v>1823</v>
      </c>
      <c r="D245" s="1" t="s">
        <v>337</v>
      </c>
      <c r="E245" s="1" t="s">
        <v>16</v>
      </c>
      <c r="F245" s="1" t="s">
        <v>2109</v>
      </c>
      <c r="G245" s="1" t="s">
        <v>702</v>
      </c>
      <c r="H245" s="1" t="s">
        <v>16</v>
      </c>
      <c r="I245" s="1" t="s">
        <v>597</v>
      </c>
      <c r="J245" s="1" t="s">
        <v>2110</v>
      </c>
      <c r="K245" s="1" t="s">
        <v>573</v>
      </c>
      <c r="L245" s="5">
        <v>25000</v>
      </c>
      <c r="M245" s="1" t="s">
        <v>316</v>
      </c>
    </row>
    <row r="246" spans="1:13" x14ac:dyDescent="0.25">
      <c r="A246" s="1" t="s">
        <v>1669</v>
      </c>
      <c r="B246" s="1" t="s">
        <v>0</v>
      </c>
      <c r="C246" s="1" t="s">
        <v>1670</v>
      </c>
      <c r="D246" s="1" t="s">
        <v>337</v>
      </c>
      <c r="E246" s="1" t="s">
        <v>16</v>
      </c>
      <c r="F246" s="1" t="s">
        <v>1666</v>
      </c>
      <c r="G246" s="1" t="s">
        <v>633</v>
      </c>
      <c r="H246" s="1" t="s">
        <v>16</v>
      </c>
      <c r="I246" s="1" t="s">
        <v>1671</v>
      </c>
      <c r="J246" s="1" t="s">
        <v>1672</v>
      </c>
      <c r="K246" s="1" t="s">
        <v>578</v>
      </c>
      <c r="L246" s="5">
        <v>25000</v>
      </c>
      <c r="M246" s="1" t="s">
        <v>361</v>
      </c>
    </row>
    <row r="247" spans="1:13" x14ac:dyDescent="0.25">
      <c r="A247" s="1" t="s">
        <v>28</v>
      </c>
      <c r="B247" s="1" t="s">
        <v>382</v>
      </c>
      <c r="C247" s="1" t="s">
        <v>1476</v>
      </c>
      <c r="D247" s="1" t="s">
        <v>362</v>
      </c>
      <c r="E247" s="1" t="s">
        <v>16</v>
      </c>
      <c r="F247" s="1" t="s">
        <v>23</v>
      </c>
      <c r="G247" s="1" t="s">
        <v>633</v>
      </c>
      <c r="H247" s="1" t="s">
        <v>570</v>
      </c>
      <c r="I247" s="1" t="s">
        <v>618</v>
      </c>
      <c r="J247" s="1" t="s">
        <v>856</v>
      </c>
      <c r="K247" s="1" t="s">
        <v>615</v>
      </c>
      <c r="L247" s="5">
        <v>400000</v>
      </c>
      <c r="M247" s="1" t="s">
        <v>23</v>
      </c>
    </row>
    <row r="248" spans="1:13" x14ac:dyDescent="0.25">
      <c r="A248" s="1" t="s">
        <v>434</v>
      </c>
      <c r="B248" s="1" t="s">
        <v>330</v>
      </c>
      <c r="C248" s="1" t="s">
        <v>1092</v>
      </c>
      <c r="D248" s="1" t="s">
        <v>337</v>
      </c>
      <c r="E248" s="1" t="s">
        <v>16</v>
      </c>
      <c r="F248" s="1" t="s">
        <v>338</v>
      </c>
      <c r="G248" s="1" t="s">
        <v>617</v>
      </c>
      <c r="H248" s="1" t="s">
        <v>605</v>
      </c>
      <c r="I248" s="1" t="s">
        <v>1093</v>
      </c>
      <c r="J248" s="1" t="s">
        <v>1074</v>
      </c>
      <c r="K248" s="1" t="s">
        <v>573</v>
      </c>
      <c r="L248" s="5">
        <v>1000000</v>
      </c>
      <c r="M248" s="1" t="s">
        <v>338</v>
      </c>
    </row>
    <row r="249" spans="1:13" x14ac:dyDescent="0.25">
      <c r="A249" s="1" t="s">
        <v>311</v>
      </c>
      <c r="B249" s="1" t="s">
        <v>326</v>
      </c>
      <c r="C249" s="1" t="s">
        <v>801</v>
      </c>
      <c r="D249" s="1" t="s">
        <v>337</v>
      </c>
      <c r="E249" s="1" t="s">
        <v>16</v>
      </c>
      <c r="F249" s="1" t="s">
        <v>854</v>
      </c>
      <c r="G249" s="1" t="s">
        <v>646</v>
      </c>
      <c r="H249" s="1" t="s">
        <v>570</v>
      </c>
      <c r="I249" s="1" t="s">
        <v>802</v>
      </c>
      <c r="J249" s="1" t="s">
        <v>830</v>
      </c>
      <c r="K249" s="1" t="s">
        <v>644</v>
      </c>
      <c r="L249" s="5">
        <v>10000000</v>
      </c>
      <c r="M249" s="1" t="s">
        <v>334</v>
      </c>
    </row>
    <row r="250" spans="1:13" x14ac:dyDescent="0.25">
      <c r="A250" s="1" t="s">
        <v>474</v>
      </c>
      <c r="B250" s="1" t="s">
        <v>359</v>
      </c>
      <c r="C250" s="1" t="s">
        <v>1632</v>
      </c>
      <c r="D250" s="1" t="s">
        <v>337</v>
      </c>
      <c r="E250" s="1" t="s">
        <v>16</v>
      </c>
      <c r="F250" s="1" t="s">
        <v>349</v>
      </c>
      <c r="G250" s="1" t="s">
        <v>769</v>
      </c>
      <c r="H250" s="1" t="s">
        <v>586</v>
      </c>
      <c r="I250" s="1" t="s">
        <v>1633</v>
      </c>
      <c r="J250" s="1" t="s">
        <v>1581</v>
      </c>
      <c r="K250" s="1" t="s">
        <v>615</v>
      </c>
      <c r="L250" s="5">
        <v>450000</v>
      </c>
      <c r="M250" s="1" t="s">
        <v>349</v>
      </c>
    </row>
    <row r="251" spans="1:13" x14ac:dyDescent="0.25">
      <c r="A251" s="1" t="s">
        <v>663</v>
      </c>
      <c r="B251" s="1" t="s">
        <v>331</v>
      </c>
      <c r="C251" s="1" t="s">
        <v>664</v>
      </c>
      <c r="D251" s="1" t="s">
        <v>337</v>
      </c>
      <c r="E251" s="1" t="s">
        <v>16</v>
      </c>
      <c r="F251" s="1" t="s">
        <v>318</v>
      </c>
      <c r="G251" s="1" t="s">
        <v>617</v>
      </c>
      <c r="H251" s="1" t="s">
        <v>16</v>
      </c>
      <c r="I251" s="1" t="s">
        <v>587</v>
      </c>
      <c r="J251" s="1" t="s">
        <v>577</v>
      </c>
      <c r="K251" s="1" t="s">
        <v>578</v>
      </c>
      <c r="L251" s="5">
        <v>200000</v>
      </c>
      <c r="M251" s="1" t="s">
        <v>318</v>
      </c>
    </row>
    <row r="252" spans="1:13" x14ac:dyDescent="0.25">
      <c r="A252" s="1" t="s">
        <v>1758</v>
      </c>
      <c r="B252" s="1" t="s">
        <v>325</v>
      </c>
      <c r="C252" s="1" t="s">
        <v>1759</v>
      </c>
      <c r="D252" s="1" t="s">
        <v>337</v>
      </c>
      <c r="E252" s="1" t="s">
        <v>16</v>
      </c>
      <c r="F252" s="1" t="s">
        <v>345</v>
      </c>
      <c r="G252" s="1" t="s">
        <v>656</v>
      </c>
      <c r="H252" s="1" t="s">
        <v>16</v>
      </c>
      <c r="I252" s="1" t="s">
        <v>1760</v>
      </c>
      <c r="J252" s="1" t="s">
        <v>1666</v>
      </c>
      <c r="K252" s="1" t="s">
        <v>578</v>
      </c>
      <c r="L252" s="5">
        <v>200000</v>
      </c>
      <c r="M252" s="1" t="s">
        <v>361</v>
      </c>
    </row>
    <row r="253" spans="1:13" x14ac:dyDescent="0.25">
      <c r="A253" s="1" t="s">
        <v>894</v>
      </c>
      <c r="B253" s="1" t="s">
        <v>0</v>
      </c>
      <c r="C253" s="1" t="s">
        <v>907</v>
      </c>
      <c r="D253" s="1" t="s">
        <v>337</v>
      </c>
      <c r="E253" s="1" t="s">
        <v>16</v>
      </c>
      <c r="F253" s="1" t="s">
        <v>582</v>
      </c>
      <c r="G253" s="1" t="s">
        <v>16</v>
      </c>
      <c r="H253" s="1" t="s">
        <v>16</v>
      </c>
      <c r="I253" s="1" t="s">
        <v>908</v>
      </c>
      <c r="J253" s="1" t="s">
        <v>865</v>
      </c>
      <c r="K253" s="1" t="s">
        <v>573</v>
      </c>
      <c r="L253" s="5">
        <v>25000</v>
      </c>
      <c r="M253" s="1" t="s">
        <v>332</v>
      </c>
    </row>
    <row r="254" spans="1:13" x14ac:dyDescent="0.25">
      <c r="A254" s="1" t="s">
        <v>39</v>
      </c>
      <c r="B254" s="1" t="s">
        <v>324</v>
      </c>
      <c r="C254" s="1" t="s">
        <v>1483</v>
      </c>
      <c r="D254" s="1" t="s">
        <v>337</v>
      </c>
      <c r="E254" s="1" t="s">
        <v>16</v>
      </c>
      <c r="F254" s="1" t="s">
        <v>23</v>
      </c>
      <c r="G254" s="1" t="s">
        <v>612</v>
      </c>
      <c r="H254" s="1" t="s">
        <v>605</v>
      </c>
      <c r="I254" s="1" t="s">
        <v>1504</v>
      </c>
      <c r="J254" s="1" t="s">
        <v>1494</v>
      </c>
      <c r="K254" s="1" t="s">
        <v>615</v>
      </c>
      <c r="L254" s="5">
        <v>1000000</v>
      </c>
      <c r="M254" s="1" t="s">
        <v>23</v>
      </c>
    </row>
    <row r="255" spans="1:13" x14ac:dyDescent="0.25">
      <c r="A255" s="1" t="s">
        <v>1142</v>
      </c>
      <c r="B255" s="1" t="s">
        <v>330</v>
      </c>
      <c r="C255" s="1" t="s">
        <v>1182</v>
      </c>
      <c r="D255" s="1" t="s">
        <v>337</v>
      </c>
      <c r="E255" s="1" t="s">
        <v>16</v>
      </c>
      <c r="F255" s="1" t="s">
        <v>344</v>
      </c>
      <c r="G255" s="1" t="s">
        <v>775</v>
      </c>
      <c r="H255" s="1" t="s">
        <v>605</v>
      </c>
      <c r="I255" s="1" t="s">
        <v>1181</v>
      </c>
      <c r="J255" s="1" t="s">
        <v>1148</v>
      </c>
      <c r="K255" s="1" t="s">
        <v>615</v>
      </c>
      <c r="L255" s="5">
        <v>25000</v>
      </c>
      <c r="M255" s="1" t="s">
        <v>344</v>
      </c>
    </row>
    <row r="256" spans="1:13" x14ac:dyDescent="0.25">
      <c r="A256" s="1" t="s">
        <v>2213</v>
      </c>
      <c r="B256" s="1" t="s">
        <v>0</v>
      </c>
      <c r="C256" s="1" t="s">
        <v>1557</v>
      </c>
      <c r="D256" s="1" t="s">
        <v>337</v>
      </c>
      <c r="E256" s="1" t="s">
        <v>16</v>
      </c>
      <c r="F256" s="1" t="s">
        <v>2214</v>
      </c>
      <c r="G256" s="1" t="s">
        <v>591</v>
      </c>
      <c r="H256" s="1" t="s">
        <v>16</v>
      </c>
      <c r="I256" s="1" t="s">
        <v>1418</v>
      </c>
      <c r="J256" s="1" t="s">
        <v>598</v>
      </c>
      <c r="K256" s="1" t="s">
        <v>16</v>
      </c>
      <c r="L256" s="5">
        <v>25000</v>
      </c>
      <c r="M256" s="1" t="s">
        <v>348</v>
      </c>
    </row>
    <row r="257" spans="1:13" x14ac:dyDescent="0.25">
      <c r="A257" s="1" t="s">
        <v>182</v>
      </c>
      <c r="B257" s="1" t="s">
        <v>331</v>
      </c>
      <c r="C257" s="1" t="s">
        <v>680</v>
      </c>
      <c r="D257" s="1" t="s">
        <v>337</v>
      </c>
      <c r="E257" s="1" t="s">
        <v>16</v>
      </c>
      <c r="F257" s="1" t="s">
        <v>315</v>
      </c>
      <c r="G257" s="1" t="s">
        <v>769</v>
      </c>
      <c r="H257" s="1" t="s">
        <v>16</v>
      </c>
      <c r="I257" s="1" t="s">
        <v>610</v>
      </c>
      <c r="J257" s="1" t="s">
        <v>1341</v>
      </c>
      <c r="K257" s="1" t="s">
        <v>578</v>
      </c>
      <c r="L257" s="5">
        <v>25000</v>
      </c>
      <c r="M257" s="1" t="s">
        <v>315</v>
      </c>
    </row>
    <row r="258" spans="1:13" x14ac:dyDescent="0.25">
      <c r="A258" s="1" t="s">
        <v>81</v>
      </c>
      <c r="B258" s="1" t="s">
        <v>331</v>
      </c>
      <c r="C258" s="1" t="s">
        <v>1713</v>
      </c>
      <c r="D258" s="1" t="s">
        <v>337</v>
      </c>
      <c r="E258" s="1" t="s">
        <v>16</v>
      </c>
      <c r="F258" s="1" t="s">
        <v>1666</v>
      </c>
      <c r="G258" s="1" t="s">
        <v>660</v>
      </c>
      <c r="H258" s="1" t="s">
        <v>16</v>
      </c>
      <c r="I258" s="1" t="s">
        <v>975</v>
      </c>
      <c r="J258" s="1" t="s">
        <v>1666</v>
      </c>
      <c r="K258" s="1" t="s">
        <v>16</v>
      </c>
      <c r="L258" s="5">
        <v>50000</v>
      </c>
      <c r="M258" s="1" t="s">
        <v>361</v>
      </c>
    </row>
    <row r="259" spans="1:13" x14ac:dyDescent="0.25">
      <c r="A259" s="1" t="s">
        <v>17</v>
      </c>
      <c r="B259" s="1" t="s">
        <v>331</v>
      </c>
      <c r="C259" s="1" t="s">
        <v>2079</v>
      </c>
      <c r="D259" s="1" t="s">
        <v>337</v>
      </c>
      <c r="E259" s="1" t="s">
        <v>16</v>
      </c>
      <c r="F259" s="1" t="s">
        <v>601</v>
      </c>
      <c r="G259" s="1" t="s">
        <v>617</v>
      </c>
      <c r="H259" s="1" t="s">
        <v>16</v>
      </c>
      <c r="I259" s="1" t="s">
        <v>2080</v>
      </c>
      <c r="J259" s="1" t="s">
        <v>2081</v>
      </c>
      <c r="K259" s="1" t="s">
        <v>573</v>
      </c>
      <c r="L259" s="5">
        <v>50000</v>
      </c>
      <c r="M259" s="1" t="s">
        <v>316</v>
      </c>
    </row>
    <row r="260" spans="1:13" x14ac:dyDescent="0.25">
      <c r="A260" s="1" t="s">
        <v>516</v>
      </c>
      <c r="B260" s="1" t="s">
        <v>382</v>
      </c>
      <c r="C260" s="1" t="s">
        <v>1244</v>
      </c>
      <c r="D260" s="1" t="s">
        <v>337</v>
      </c>
      <c r="E260" s="1" t="s">
        <v>16</v>
      </c>
      <c r="F260" s="1" t="s">
        <v>339</v>
      </c>
      <c r="G260" s="1" t="s">
        <v>660</v>
      </c>
      <c r="H260" s="1" t="s">
        <v>570</v>
      </c>
      <c r="I260" s="1" t="s">
        <v>597</v>
      </c>
      <c r="J260" s="1" t="s">
        <v>715</v>
      </c>
      <c r="K260" s="1" t="s">
        <v>573</v>
      </c>
      <c r="L260" s="5">
        <v>200000</v>
      </c>
      <c r="M260" s="1" t="s">
        <v>339</v>
      </c>
    </row>
    <row r="261" spans="1:13" x14ac:dyDescent="0.25">
      <c r="A261" s="1" t="s">
        <v>251</v>
      </c>
      <c r="B261" s="1" t="s">
        <v>325</v>
      </c>
      <c r="C261" s="1" t="s">
        <v>1662</v>
      </c>
      <c r="D261" s="1" t="s">
        <v>337</v>
      </c>
      <c r="E261" s="1" t="s">
        <v>16</v>
      </c>
      <c r="F261" s="1" t="s">
        <v>915</v>
      </c>
      <c r="G261" s="1" t="s">
        <v>585</v>
      </c>
      <c r="H261" s="1" t="s">
        <v>570</v>
      </c>
      <c r="I261" s="1" t="s">
        <v>1663</v>
      </c>
      <c r="J261" s="1" t="s">
        <v>841</v>
      </c>
      <c r="K261" s="1" t="s">
        <v>573</v>
      </c>
      <c r="L261" s="5">
        <v>25000</v>
      </c>
      <c r="M261" s="1" t="s">
        <v>349</v>
      </c>
    </row>
    <row r="262" spans="1:13" x14ac:dyDescent="0.25">
      <c r="A262" s="1" t="s">
        <v>1295</v>
      </c>
      <c r="B262" s="1" t="s">
        <v>331</v>
      </c>
      <c r="C262" s="1" t="s">
        <v>1339</v>
      </c>
      <c r="D262" s="1" t="s">
        <v>337</v>
      </c>
      <c r="E262" s="1" t="s">
        <v>16</v>
      </c>
      <c r="F262" s="1" t="s">
        <v>315</v>
      </c>
      <c r="G262" s="1" t="s">
        <v>678</v>
      </c>
      <c r="H262" s="1" t="s">
        <v>16</v>
      </c>
      <c r="I262" s="1" t="s">
        <v>1340</v>
      </c>
      <c r="J262" s="1" t="s">
        <v>1341</v>
      </c>
      <c r="K262" s="1" t="s">
        <v>573</v>
      </c>
      <c r="L262" s="5">
        <v>25000</v>
      </c>
      <c r="M262" s="1" t="s">
        <v>315</v>
      </c>
    </row>
    <row r="263" spans="1:13" x14ac:dyDescent="0.25">
      <c r="A263" s="1" t="s">
        <v>1838</v>
      </c>
      <c r="B263" s="1" t="s">
        <v>324</v>
      </c>
      <c r="C263" s="1" t="s">
        <v>1839</v>
      </c>
      <c r="D263" s="1" t="s">
        <v>337</v>
      </c>
      <c r="E263" s="1" t="s">
        <v>16</v>
      </c>
      <c r="F263" s="1" t="s">
        <v>1130</v>
      </c>
      <c r="G263" s="1" t="s">
        <v>684</v>
      </c>
      <c r="H263" s="1" t="s">
        <v>16</v>
      </c>
      <c r="I263" s="1" t="s">
        <v>1840</v>
      </c>
      <c r="J263" s="1" t="s">
        <v>1282</v>
      </c>
      <c r="K263" s="1" t="s">
        <v>578</v>
      </c>
      <c r="L263" s="5">
        <v>75000</v>
      </c>
      <c r="M263" s="1" t="s">
        <v>340</v>
      </c>
    </row>
    <row r="264" spans="1:13" x14ac:dyDescent="0.25">
      <c r="A264" s="1" t="s">
        <v>1136</v>
      </c>
      <c r="B264" s="1" t="s">
        <v>0</v>
      </c>
      <c r="C264" s="1" t="s">
        <v>1152</v>
      </c>
      <c r="D264" s="1" t="s">
        <v>337</v>
      </c>
      <c r="E264" s="1" t="s">
        <v>16</v>
      </c>
      <c r="F264" s="1" t="s">
        <v>590</v>
      </c>
      <c r="G264" s="1" t="s">
        <v>633</v>
      </c>
      <c r="H264" s="1" t="s">
        <v>570</v>
      </c>
      <c r="I264" s="1" t="s">
        <v>1153</v>
      </c>
      <c r="J264" s="1" t="s">
        <v>349</v>
      </c>
      <c r="K264" s="1" t="s">
        <v>16</v>
      </c>
      <c r="L264" s="5">
        <v>25000</v>
      </c>
      <c r="M264" s="1" t="s">
        <v>344</v>
      </c>
    </row>
    <row r="265" spans="1:13" x14ac:dyDescent="0.25">
      <c r="A265" s="1" t="s">
        <v>1392</v>
      </c>
      <c r="B265" s="1" t="s">
        <v>382</v>
      </c>
      <c r="C265" s="1" t="s">
        <v>1393</v>
      </c>
      <c r="D265" s="1" t="s">
        <v>337</v>
      </c>
      <c r="E265" s="1" t="s">
        <v>16</v>
      </c>
      <c r="F265" s="1" t="s">
        <v>339</v>
      </c>
      <c r="G265" s="1" t="s">
        <v>627</v>
      </c>
      <c r="H265" s="1" t="s">
        <v>570</v>
      </c>
      <c r="I265" s="1" t="s">
        <v>1394</v>
      </c>
      <c r="J265" s="1" t="s">
        <v>1378</v>
      </c>
      <c r="K265" s="1" t="s">
        <v>615</v>
      </c>
      <c r="L265" s="5">
        <v>400000</v>
      </c>
      <c r="M265" s="1" t="s">
        <v>317</v>
      </c>
    </row>
    <row r="266" spans="1:13" x14ac:dyDescent="0.25">
      <c r="A266" s="1" t="s">
        <v>210</v>
      </c>
      <c r="B266" s="1" t="s">
        <v>359</v>
      </c>
      <c r="C266" s="1" t="s">
        <v>1917</v>
      </c>
      <c r="D266" s="1" t="s">
        <v>337</v>
      </c>
      <c r="E266" s="1" t="s">
        <v>16</v>
      </c>
      <c r="F266" s="1" t="s">
        <v>1675</v>
      </c>
      <c r="G266" s="1" t="s">
        <v>684</v>
      </c>
      <c r="H266" s="1" t="s">
        <v>586</v>
      </c>
      <c r="I266" s="1" t="s">
        <v>1469</v>
      </c>
      <c r="J266" s="1" t="s">
        <v>701</v>
      </c>
      <c r="K266" s="1" t="s">
        <v>615</v>
      </c>
      <c r="L266" s="5" t="s">
        <v>16</v>
      </c>
      <c r="M266" s="1" t="s">
        <v>319</v>
      </c>
    </row>
    <row r="267" spans="1:13" x14ac:dyDescent="0.25">
      <c r="A267" s="1" t="s">
        <v>1858</v>
      </c>
      <c r="B267" s="1" t="s">
        <v>325</v>
      </c>
      <c r="C267" s="1" t="s">
        <v>1859</v>
      </c>
      <c r="D267" s="1" t="s">
        <v>337</v>
      </c>
      <c r="E267" s="1" t="s">
        <v>16</v>
      </c>
      <c r="F267" s="1" t="s">
        <v>632</v>
      </c>
      <c r="G267" s="1" t="s">
        <v>580</v>
      </c>
      <c r="H267" s="1" t="s">
        <v>570</v>
      </c>
      <c r="I267" s="1" t="s">
        <v>592</v>
      </c>
      <c r="J267" s="1" t="s">
        <v>361</v>
      </c>
      <c r="K267" s="1" t="s">
        <v>16</v>
      </c>
      <c r="L267" s="5">
        <v>100000</v>
      </c>
      <c r="M267" s="1" t="s">
        <v>340</v>
      </c>
    </row>
    <row r="268" spans="1:13" x14ac:dyDescent="0.25">
      <c r="A268" s="1" t="s">
        <v>463</v>
      </c>
      <c r="B268" s="1" t="s">
        <v>331</v>
      </c>
      <c r="C268" s="1" t="s">
        <v>1818</v>
      </c>
      <c r="D268" s="1" t="s">
        <v>337</v>
      </c>
      <c r="E268" s="1" t="s">
        <v>16</v>
      </c>
      <c r="F268" s="1" t="s">
        <v>340</v>
      </c>
      <c r="G268" s="1" t="s">
        <v>775</v>
      </c>
      <c r="H268" s="1" t="s">
        <v>570</v>
      </c>
      <c r="I268" s="1" t="s">
        <v>1819</v>
      </c>
      <c r="J268" s="1" t="s">
        <v>731</v>
      </c>
      <c r="K268" s="1" t="s">
        <v>573</v>
      </c>
      <c r="L268" s="5">
        <v>250000</v>
      </c>
      <c r="M268" s="1" t="s">
        <v>340</v>
      </c>
    </row>
    <row r="269" spans="1:13" x14ac:dyDescent="0.25">
      <c r="A269" s="1" t="s">
        <v>1087</v>
      </c>
      <c r="B269" s="1" t="s">
        <v>331</v>
      </c>
      <c r="C269" s="1" t="s">
        <v>1088</v>
      </c>
      <c r="D269" s="1" t="s">
        <v>337</v>
      </c>
      <c r="E269" s="1" t="s">
        <v>16</v>
      </c>
      <c r="F269" s="1" t="s">
        <v>681</v>
      </c>
      <c r="G269" s="1" t="s">
        <v>660</v>
      </c>
      <c r="H269" s="1" t="s">
        <v>586</v>
      </c>
      <c r="I269" s="1" t="s">
        <v>780</v>
      </c>
      <c r="J269" s="1" t="s">
        <v>681</v>
      </c>
      <c r="K269" s="1" t="s">
        <v>573</v>
      </c>
      <c r="L269" s="5">
        <v>500000</v>
      </c>
      <c r="M269" s="1" t="s">
        <v>338</v>
      </c>
    </row>
    <row r="270" spans="1:13" x14ac:dyDescent="0.25">
      <c r="A270" s="1" t="s">
        <v>1466</v>
      </c>
      <c r="B270" s="1" t="s">
        <v>325</v>
      </c>
      <c r="C270" s="1" t="s">
        <v>1467</v>
      </c>
      <c r="D270" s="1" t="s">
        <v>337</v>
      </c>
      <c r="E270" s="1" t="s">
        <v>16</v>
      </c>
      <c r="F270" s="1" t="s">
        <v>1468</v>
      </c>
      <c r="G270" s="1" t="s">
        <v>775</v>
      </c>
      <c r="H270" s="1" t="s">
        <v>605</v>
      </c>
      <c r="I270" s="1" t="s">
        <v>1469</v>
      </c>
      <c r="J270" s="1" t="s">
        <v>1470</v>
      </c>
      <c r="K270" s="1" t="s">
        <v>573</v>
      </c>
      <c r="L270" s="5">
        <v>100000</v>
      </c>
      <c r="M270" s="1" t="s">
        <v>317</v>
      </c>
    </row>
    <row r="271" spans="1:13" x14ac:dyDescent="0.25">
      <c r="A271" s="1" t="s">
        <v>1748</v>
      </c>
      <c r="B271" s="1" t="s">
        <v>328</v>
      </c>
      <c r="C271" s="1" t="s">
        <v>1749</v>
      </c>
      <c r="D271" s="1" t="s">
        <v>337</v>
      </c>
      <c r="E271" s="1" t="s">
        <v>16</v>
      </c>
      <c r="F271" s="1" t="s">
        <v>1750</v>
      </c>
      <c r="G271" s="1" t="s">
        <v>16</v>
      </c>
      <c r="H271" s="1" t="s">
        <v>586</v>
      </c>
      <c r="I271" s="1" t="s">
        <v>763</v>
      </c>
      <c r="J271" s="1" t="s">
        <v>1672</v>
      </c>
      <c r="K271" s="1" t="s">
        <v>578</v>
      </c>
      <c r="L271" s="5">
        <v>25000</v>
      </c>
      <c r="M271" s="1" t="s">
        <v>361</v>
      </c>
    </row>
    <row r="272" spans="1:13" x14ac:dyDescent="0.25">
      <c r="A272" s="1" t="s">
        <v>243</v>
      </c>
      <c r="B272" s="1" t="s">
        <v>352</v>
      </c>
      <c r="C272" s="1" t="s">
        <v>1628</v>
      </c>
      <c r="D272" s="1" t="s">
        <v>337</v>
      </c>
      <c r="E272" s="1" t="s">
        <v>16</v>
      </c>
      <c r="F272" s="1" t="s">
        <v>349</v>
      </c>
      <c r="G272" s="1" t="s">
        <v>702</v>
      </c>
      <c r="H272" s="1" t="s">
        <v>570</v>
      </c>
      <c r="I272" s="1" t="s">
        <v>806</v>
      </c>
      <c r="J272" s="1" t="s">
        <v>853</v>
      </c>
      <c r="K272" s="1" t="s">
        <v>573</v>
      </c>
      <c r="L272" s="5">
        <v>600000</v>
      </c>
      <c r="M272" s="1" t="s">
        <v>349</v>
      </c>
    </row>
    <row r="273" spans="1:13" x14ac:dyDescent="0.25">
      <c r="A273" s="1" t="s">
        <v>267</v>
      </c>
      <c r="B273" s="1" t="s">
        <v>325</v>
      </c>
      <c r="C273" s="1" t="s">
        <v>2198</v>
      </c>
      <c r="D273" s="1" t="s">
        <v>362</v>
      </c>
      <c r="E273" s="1" t="s">
        <v>350</v>
      </c>
      <c r="F273" s="1" t="s">
        <v>855</v>
      </c>
      <c r="G273" s="1" t="s">
        <v>722</v>
      </c>
      <c r="H273" s="1" t="s">
        <v>570</v>
      </c>
      <c r="I273" s="1" t="s">
        <v>618</v>
      </c>
      <c r="J273" s="1" t="s">
        <v>2199</v>
      </c>
      <c r="K273" s="1" t="s">
        <v>615</v>
      </c>
      <c r="L273" s="5">
        <v>300000</v>
      </c>
      <c r="M273" s="1" t="s">
        <v>383</v>
      </c>
    </row>
    <row r="274" spans="1:13" x14ac:dyDescent="0.25">
      <c r="A274" s="1" t="s">
        <v>1694</v>
      </c>
      <c r="B274" s="1" t="s">
        <v>382</v>
      </c>
      <c r="C274" s="1" t="s">
        <v>1695</v>
      </c>
      <c r="D274" s="1" t="s">
        <v>337</v>
      </c>
      <c r="E274" s="1" t="s">
        <v>16</v>
      </c>
      <c r="F274" s="1" t="s">
        <v>1675</v>
      </c>
      <c r="G274" s="1" t="s">
        <v>609</v>
      </c>
      <c r="H274" s="1" t="s">
        <v>16</v>
      </c>
      <c r="I274" s="1" t="s">
        <v>647</v>
      </c>
      <c r="J274" s="1" t="s">
        <v>1666</v>
      </c>
      <c r="K274" s="1" t="s">
        <v>615</v>
      </c>
      <c r="L274" s="5" t="s">
        <v>16</v>
      </c>
      <c r="M274" s="1" t="s">
        <v>361</v>
      </c>
    </row>
    <row r="275" spans="1:13" x14ac:dyDescent="0.25">
      <c r="A275" s="1" t="s">
        <v>804</v>
      </c>
      <c r="B275" s="1" t="s">
        <v>326</v>
      </c>
      <c r="C275" s="1" t="s">
        <v>805</v>
      </c>
      <c r="D275" s="1" t="s">
        <v>362</v>
      </c>
      <c r="E275" s="1" t="s">
        <v>16</v>
      </c>
      <c r="F275" s="1" t="s">
        <v>855</v>
      </c>
      <c r="G275" s="1" t="s">
        <v>767</v>
      </c>
      <c r="H275" s="1" t="s">
        <v>586</v>
      </c>
      <c r="I275" s="1" t="s">
        <v>806</v>
      </c>
      <c r="J275" s="1" t="s">
        <v>856</v>
      </c>
      <c r="K275" s="1" t="s">
        <v>578</v>
      </c>
      <c r="L275" s="5">
        <v>1000000</v>
      </c>
      <c r="M275" s="1" t="s">
        <v>334</v>
      </c>
    </row>
    <row r="276" spans="1:13" x14ac:dyDescent="0.25">
      <c r="A276" s="1" t="s">
        <v>1289</v>
      </c>
      <c r="B276" s="1" t="s">
        <v>0</v>
      </c>
      <c r="C276" s="1" t="s">
        <v>1304</v>
      </c>
      <c r="D276" s="1" t="s">
        <v>337</v>
      </c>
      <c r="E276" s="1" t="s">
        <v>16</v>
      </c>
      <c r="F276" s="1" t="s">
        <v>1305</v>
      </c>
      <c r="G276" s="1" t="s">
        <v>16</v>
      </c>
      <c r="H276" s="1" t="s">
        <v>16</v>
      </c>
      <c r="I276" s="1" t="s">
        <v>717</v>
      </c>
      <c r="J276" s="1" t="s">
        <v>912</v>
      </c>
      <c r="K276" s="1" t="s">
        <v>16</v>
      </c>
      <c r="L276" s="5">
        <v>50000</v>
      </c>
      <c r="M276" s="1" t="s">
        <v>315</v>
      </c>
    </row>
    <row r="277" spans="1:13" x14ac:dyDescent="0.25">
      <c r="A277" s="1" t="s">
        <v>1519</v>
      </c>
      <c r="B277" s="1" t="s">
        <v>382</v>
      </c>
      <c r="C277" s="1" t="s">
        <v>1520</v>
      </c>
      <c r="D277" s="1" t="s">
        <v>337</v>
      </c>
      <c r="E277" s="1" t="s">
        <v>16</v>
      </c>
      <c r="F277" s="1" t="s">
        <v>1494</v>
      </c>
      <c r="G277" s="1" t="s">
        <v>627</v>
      </c>
      <c r="H277" s="1" t="s">
        <v>570</v>
      </c>
      <c r="I277" s="1" t="s">
        <v>1521</v>
      </c>
      <c r="J277" s="1" t="s">
        <v>1494</v>
      </c>
      <c r="K277" s="1" t="s">
        <v>573</v>
      </c>
      <c r="L277" s="5">
        <v>50000</v>
      </c>
      <c r="M277" s="1" t="s">
        <v>23</v>
      </c>
    </row>
    <row r="278" spans="1:13" x14ac:dyDescent="0.25">
      <c r="A278" s="1" t="s">
        <v>55</v>
      </c>
      <c r="B278" s="1" t="s">
        <v>331</v>
      </c>
      <c r="C278" s="1" t="s">
        <v>2240</v>
      </c>
      <c r="D278" s="1" t="s">
        <v>337</v>
      </c>
      <c r="E278" s="1" t="s">
        <v>16</v>
      </c>
      <c r="F278" s="1" t="s">
        <v>1107</v>
      </c>
      <c r="G278" s="1" t="s">
        <v>656</v>
      </c>
      <c r="H278" s="1" t="s">
        <v>570</v>
      </c>
      <c r="I278" s="1" t="s">
        <v>2241</v>
      </c>
      <c r="J278" s="1" t="s">
        <v>943</v>
      </c>
      <c r="K278" s="1" t="s">
        <v>615</v>
      </c>
      <c r="L278" s="5">
        <v>100000</v>
      </c>
      <c r="M278" s="1" t="s">
        <v>348</v>
      </c>
    </row>
    <row r="279" spans="1:13" x14ac:dyDescent="0.25">
      <c r="A279" s="1" t="s">
        <v>428</v>
      </c>
      <c r="B279" s="1" t="s">
        <v>331</v>
      </c>
      <c r="C279" s="1" t="s">
        <v>1084</v>
      </c>
      <c r="D279" s="1" t="s">
        <v>337</v>
      </c>
      <c r="E279" s="1" t="s">
        <v>16</v>
      </c>
      <c r="F279" s="1" t="s">
        <v>338</v>
      </c>
      <c r="G279" s="1" t="s">
        <v>684</v>
      </c>
      <c r="H279" s="1" t="s">
        <v>570</v>
      </c>
      <c r="I279" s="1" t="s">
        <v>610</v>
      </c>
      <c r="J279" s="1" t="s">
        <v>340</v>
      </c>
      <c r="K279" s="1" t="s">
        <v>578</v>
      </c>
      <c r="L279" s="5">
        <v>1000000</v>
      </c>
      <c r="M279" s="1" t="s">
        <v>338</v>
      </c>
    </row>
    <row r="280" spans="1:13" x14ac:dyDescent="0.25">
      <c r="A280" s="1" t="s">
        <v>1775</v>
      </c>
      <c r="B280" s="1" t="s">
        <v>0</v>
      </c>
      <c r="C280" s="1" t="s">
        <v>1776</v>
      </c>
      <c r="D280" s="1" t="s">
        <v>346</v>
      </c>
      <c r="E280" s="1" t="s">
        <v>337</v>
      </c>
      <c r="F280" s="1" t="s">
        <v>340</v>
      </c>
      <c r="G280" s="1" t="s">
        <v>591</v>
      </c>
      <c r="H280" s="1" t="s">
        <v>570</v>
      </c>
      <c r="I280" s="1" t="s">
        <v>1777</v>
      </c>
      <c r="J280" s="1" t="s">
        <v>724</v>
      </c>
      <c r="K280" s="1" t="s">
        <v>573</v>
      </c>
      <c r="L280" s="5">
        <v>150000</v>
      </c>
      <c r="M280" s="1" t="s">
        <v>340</v>
      </c>
    </row>
    <row r="281" spans="1:13" x14ac:dyDescent="0.25">
      <c r="A281" s="1" t="s">
        <v>56</v>
      </c>
      <c r="B281" s="1" t="s">
        <v>328</v>
      </c>
      <c r="C281" s="1" t="s">
        <v>2264</v>
      </c>
      <c r="D281" s="1" t="s">
        <v>368</v>
      </c>
      <c r="E281" s="1" t="s">
        <v>369</v>
      </c>
      <c r="F281" s="1" t="s">
        <v>1540</v>
      </c>
      <c r="G281" s="1" t="s">
        <v>612</v>
      </c>
      <c r="H281" s="1" t="s">
        <v>586</v>
      </c>
      <c r="I281" s="1" t="s">
        <v>2265</v>
      </c>
      <c r="J281" s="1" t="s">
        <v>724</v>
      </c>
      <c r="K281" s="1" t="s">
        <v>573</v>
      </c>
      <c r="L281" s="5">
        <v>400000</v>
      </c>
      <c r="M281" s="1" t="s">
        <v>348</v>
      </c>
    </row>
    <row r="282" spans="1:13" x14ac:dyDescent="0.25">
      <c r="A282" s="1" t="s">
        <v>1989</v>
      </c>
      <c r="B282" s="1" t="s">
        <v>330</v>
      </c>
      <c r="C282" s="1" t="s">
        <v>1990</v>
      </c>
      <c r="D282" s="1" t="s">
        <v>337</v>
      </c>
      <c r="E282" s="1" t="s">
        <v>333</v>
      </c>
      <c r="F282" s="1" t="s">
        <v>1991</v>
      </c>
      <c r="G282" s="1" t="s">
        <v>702</v>
      </c>
      <c r="H282" s="1" t="s">
        <v>570</v>
      </c>
      <c r="I282" s="1" t="s">
        <v>618</v>
      </c>
      <c r="J282" s="1" t="s">
        <v>344</v>
      </c>
      <c r="K282" s="1" t="s">
        <v>573</v>
      </c>
      <c r="L282" s="5">
        <v>75000</v>
      </c>
      <c r="M282" s="1" t="s">
        <v>345</v>
      </c>
    </row>
    <row r="283" spans="1:13" x14ac:dyDescent="0.25">
      <c r="A283" s="1" t="s">
        <v>250</v>
      </c>
      <c r="B283" s="1" t="s">
        <v>326</v>
      </c>
      <c r="C283" s="1" t="s">
        <v>1649</v>
      </c>
      <c r="D283" s="1" t="s">
        <v>480</v>
      </c>
      <c r="E283" s="1" t="s">
        <v>481</v>
      </c>
      <c r="F283" s="1" t="s">
        <v>1650</v>
      </c>
      <c r="G283" s="1" t="s">
        <v>646</v>
      </c>
      <c r="H283" s="1" t="s">
        <v>570</v>
      </c>
      <c r="I283" s="1" t="s">
        <v>935</v>
      </c>
      <c r="J283" s="1" t="s">
        <v>1651</v>
      </c>
      <c r="K283" s="1" t="s">
        <v>615</v>
      </c>
      <c r="L283" s="5">
        <v>250000</v>
      </c>
      <c r="M283" s="1" t="s">
        <v>349</v>
      </c>
    </row>
    <row r="284" spans="1:13" x14ac:dyDescent="0.25">
      <c r="A284" s="1" t="s">
        <v>167</v>
      </c>
      <c r="B284" s="1" t="s">
        <v>352</v>
      </c>
      <c r="C284" s="1" t="s">
        <v>881</v>
      </c>
      <c r="D284" s="1" t="s">
        <v>333</v>
      </c>
      <c r="E284" s="1" t="s">
        <v>370</v>
      </c>
      <c r="F284" s="1" t="s">
        <v>332</v>
      </c>
      <c r="G284" s="1" t="s">
        <v>722</v>
      </c>
      <c r="H284" s="1" t="s">
        <v>570</v>
      </c>
      <c r="I284" s="1" t="s">
        <v>618</v>
      </c>
      <c r="J284" s="1" t="s">
        <v>383</v>
      </c>
      <c r="K284" s="1" t="s">
        <v>588</v>
      </c>
      <c r="L284" s="5">
        <v>800000</v>
      </c>
      <c r="M284" s="1" t="s">
        <v>341</v>
      </c>
    </row>
    <row r="285" spans="1:13" x14ac:dyDescent="0.25">
      <c r="A285" s="1" t="s">
        <v>545</v>
      </c>
      <c r="B285" s="1" t="s">
        <v>331</v>
      </c>
      <c r="C285" s="1" t="s">
        <v>1408</v>
      </c>
      <c r="D285" s="1" t="s">
        <v>550</v>
      </c>
      <c r="E285" s="1" t="s">
        <v>16</v>
      </c>
      <c r="F285" s="1" t="s">
        <v>317</v>
      </c>
      <c r="G285" s="1" t="s">
        <v>709</v>
      </c>
      <c r="H285" s="1" t="s">
        <v>570</v>
      </c>
      <c r="I285" s="1" t="s">
        <v>606</v>
      </c>
      <c r="J285" s="1" t="s">
        <v>1407</v>
      </c>
      <c r="K285" s="1" t="s">
        <v>615</v>
      </c>
      <c r="L285" s="5">
        <v>300000</v>
      </c>
      <c r="M285" s="1" t="s">
        <v>317</v>
      </c>
    </row>
    <row r="286" spans="1:13" x14ac:dyDescent="0.25">
      <c r="A286" s="1" t="s">
        <v>1576</v>
      </c>
      <c r="B286" s="1" t="s">
        <v>0</v>
      </c>
      <c r="C286" s="1" t="s">
        <v>1593</v>
      </c>
      <c r="D286" s="1" t="s">
        <v>337</v>
      </c>
      <c r="E286" s="1" t="s">
        <v>16</v>
      </c>
      <c r="F286" s="1" t="s">
        <v>349</v>
      </c>
      <c r="G286" s="1" t="s">
        <v>580</v>
      </c>
      <c r="H286" s="1" t="s">
        <v>16</v>
      </c>
      <c r="I286" s="1" t="s">
        <v>618</v>
      </c>
      <c r="J286" s="1" t="s">
        <v>341</v>
      </c>
      <c r="K286" s="1" t="s">
        <v>615</v>
      </c>
      <c r="L286" s="5">
        <v>250000</v>
      </c>
      <c r="M286" s="1" t="s">
        <v>349</v>
      </c>
    </row>
    <row r="287" spans="1:13" x14ac:dyDescent="0.25">
      <c r="A287" s="1" t="s">
        <v>456</v>
      </c>
      <c r="B287" s="1" t="s">
        <v>331</v>
      </c>
      <c r="C287" s="1" t="s">
        <v>779</v>
      </c>
      <c r="D287" s="1" t="s">
        <v>335</v>
      </c>
      <c r="E287" s="1" t="s">
        <v>16</v>
      </c>
      <c r="F287" s="1" t="s">
        <v>334</v>
      </c>
      <c r="G287" s="1" t="s">
        <v>722</v>
      </c>
      <c r="H287" s="1" t="s">
        <v>570</v>
      </c>
      <c r="I287" s="1" t="s">
        <v>780</v>
      </c>
      <c r="J287" s="1" t="s">
        <v>842</v>
      </c>
      <c r="K287" s="1" t="s">
        <v>588</v>
      </c>
      <c r="L287" s="5">
        <v>2500000</v>
      </c>
      <c r="M287" s="1" t="s">
        <v>334</v>
      </c>
    </row>
    <row r="288" spans="1:13" x14ac:dyDescent="0.25">
      <c r="A288" s="1" t="s">
        <v>313</v>
      </c>
      <c r="B288" s="1" t="s">
        <v>324</v>
      </c>
      <c r="C288" s="1" t="s">
        <v>1722</v>
      </c>
      <c r="D288" s="1" t="s">
        <v>333</v>
      </c>
      <c r="E288" s="1" t="s">
        <v>16</v>
      </c>
      <c r="F288" s="1" t="s">
        <v>361</v>
      </c>
      <c r="G288" s="1" t="s">
        <v>678</v>
      </c>
      <c r="H288" s="1" t="s">
        <v>570</v>
      </c>
      <c r="I288" s="1" t="s">
        <v>1723</v>
      </c>
      <c r="J288" s="1" t="s">
        <v>383</v>
      </c>
      <c r="K288" s="1" t="s">
        <v>578</v>
      </c>
      <c r="L288" s="5">
        <v>1000000</v>
      </c>
      <c r="M288" s="1" t="s">
        <v>361</v>
      </c>
    </row>
    <row r="289" spans="1:13" x14ac:dyDescent="0.25">
      <c r="A289" s="1" t="s">
        <v>314</v>
      </c>
      <c r="B289" s="1" t="s">
        <v>325</v>
      </c>
      <c r="C289" s="1" t="s">
        <v>1448</v>
      </c>
      <c r="D289" s="1" t="s">
        <v>333</v>
      </c>
      <c r="E289" s="1" t="s">
        <v>16</v>
      </c>
      <c r="F289" s="1" t="s">
        <v>1449</v>
      </c>
      <c r="G289" s="1" t="s">
        <v>660</v>
      </c>
      <c r="H289" s="1" t="s">
        <v>570</v>
      </c>
      <c r="I289" s="1" t="s">
        <v>610</v>
      </c>
      <c r="J289" s="1" t="s">
        <v>1450</v>
      </c>
      <c r="K289" s="1" t="s">
        <v>651</v>
      </c>
      <c r="L289" s="5">
        <v>2000000</v>
      </c>
      <c r="M289" s="1" t="s">
        <v>317</v>
      </c>
    </row>
    <row r="290" spans="1:13" x14ac:dyDescent="0.25">
      <c r="A290" s="1" t="s">
        <v>287</v>
      </c>
      <c r="B290" s="1" t="s">
        <v>382</v>
      </c>
      <c r="C290" s="1" t="s">
        <v>1782</v>
      </c>
      <c r="D290" s="1" t="s">
        <v>478</v>
      </c>
      <c r="E290" s="1" t="s">
        <v>16</v>
      </c>
      <c r="F290" s="1" t="s">
        <v>1783</v>
      </c>
      <c r="G290" s="1" t="s">
        <v>569</v>
      </c>
      <c r="H290" s="1" t="s">
        <v>570</v>
      </c>
      <c r="I290" s="1" t="s">
        <v>1452</v>
      </c>
      <c r="J290" s="1" t="s">
        <v>1784</v>
      </c>
      <c r="K290" s="1" t="s">
        <v>658</v>
      </c>
      <c r="L290" s="5">
        <v>600000</v>
      </c>
      <c r="M290" s="1" t="s">
        <v>340</v>
      </c>
    </row>
    <row r="291" spans="1:13" x14ac:dyDescent="0.25">
      <c r="A291" s="1" t="s">
        <v>1299</v>
      </c>
      <c r="B291" s="1" t="s">
        <v>328</v>
      </c>
      <c r="C291" s="1" t="s">
        <v>1364</v>
      </c>
      <c r="D291" s="1" t="s">
        <v>370</v>
      </c>
      <c r="E291" s="1" t="s">
        <v>16</v>
      </c>
      <c r="F291" s="1" t="s">
        <v>1365</v>
      </c>
      <c r="G291" s="1" t="s">
        <v>678</v>
      </c>
      <c r="H291" s="1" t="s">
        <v>570</v>
      </c>
      <c r="I291" s="1" t="s">
        <v>1352</v>
      </c>
      <c r="J291" s="1" t="s">
        <v>1366</v>
      </c>
      <c r="K291" s="1" t="s">
        <v>16</v>
      </c>
      <c r="L291" s="5">
        <v>250000</v>
      </c>
      <c r="M291" s="1" t="s">
        <v>315</v>
      </c>
    </row>
    <row r="292" spans="1:13" x14ac:dyDescent="0.25">
      <c r="A292" s="1" t="s">
        <v>303</v>
      </c>
      <c r="B292" s="1" t="s">
        <v>324</v>
      </c>
      <c r="C292" s="1" t="s">
        <v>790</v>
      </c>
      <c r="D292" s="1" t="s">
        <v>336</v>
      </c>
      <c r="E292" s="1" t="s">
        <v>16</v>
      </c>
      <c r="F292" s="1" t="s">
        <v>334</v>
      </c>
      <c r="G292" s="1" t="s">
        <v>791</v>
      </c>
      <c r="H292" s="1" t="s">
        <v>605</v>
      </c>
      <c r="I292" s="1" t="s">
        <v>792</v>
      </c>
      <c r="J292" s="1" t="s">
        <v>851</v>
      </c>
      <c r="K292" s="1" t="s">
        <v>615</v>
      </c>
      <c r="L292" s="5">
        <v>3000000</v>
      </c>
      <c r="M292" s="1" t="s">
        <v>334</v>
      </c>
    </row>
    <row r="293" spans="1:13" x14ac:dyDescent="0.25">
      <c r="A293" s="1" t="s">
        <v>127</v>
      </c>
      <c r="B293" s="1" t="s">
        <v>382</v>
      </c>
      <c r="C293" s="1" t="s">
        <v>616</v>
      </c>
      <c r="D293" s="1" t="s">
        <v>392</v>
      </c>
      <c r="E293" s="1" t="s">
        <v>347</v>
      </c>
      <c r="F293" s="1" t="s">
        <v>338</v>
      </c>
      <c r="G293" s="1" t="s">
        <v>617</v>
      </c>
      <c r="H293" s="1" t="s">
        <v>586</v>
      </c>
      <c r="I293" s="1" t="s">
        <v>618</v>
      </c>
      <c r="J293" s="1" t="s">
        <v>619</v>
      </c>
      <c r="K293" s="1" t="s">
        <v>573</v>
      </c>
      <c r="L293" s="5">
        <v>300000</v>
      </c>
      <c r="M293" s="1" t="s">
        <v>318</v>
      </c>
    </row>
    <row r="294" spans="1:13" x14ac:dyDescent="0.25">
      <c r="A294" s="1" t="s">
        <v>95</v>
      </c>
      <c r="B294" s="1" t="s">
        <v>376</v>
      </c>
      <c r="C294" s="1" t="s">
        <v>686</v>
      </c>
      <c r="D294" s="1" t="s">
        <v>336</v>
      </c>
      <c r="E294" s="1" t="s">
        <v>16</v>
      </c>
      <c r="F294" s="1" t="s">
        <v>334</v>
      </c>
      <c r="G294" s="1" t="s">
        <v>702</v>
      </c>
      <c r="H294" s="1" t="s">
        <v>570</v>
      </c>
      <c r="I294" s="1" t="s">
        <v>618</v>
      </c>
      <c r="J294" s="1" t="s">
        <v>840</v>
      </c>
      <c r="K294" s="1" t="s">
        <v>578</v>
      </c>
      <c r="L294" s="5">
        <v>2000000</v>
      </c>
      <c r="M294" s="1" t="s">
        <v>334</v>
      </c>
    </row>
    <row r="295" spans="1:13" x14ac:dyDescent="0.25">
      <c r="A295" s="1" t="s">
        <v>47</v>
      </c>
      <c r="B295" s="1" t="s">
        <v>382</v>
      </c>
      <c r="C295" s="1" t="s">
        <v>1894</v>
      </c>
      <c r="D295" s="1" t="s">
        <v>333</v>
      </c>
      <c r="E295" s="1" t="s">
        <v>16</v>
      </c>
      <c r="F295" s="1" t="s">
        <v>348</v>
      </c>
      <c r="G295" s="1" t="s">
        <v>580</v>
      </c>
      <c r="H295" s="1" t="s">
        <v>570</v>
      </c>
      <c r="I295" s="1" t="s">
        <v>1895</v>
      </c>
      <c r="J295" s="1" t="s">
        <v>316</v>
      </c>
      <c r="K295" s="1" t="s">
        <v>573</v>
      </c>
      <c r="L295" s="5">
        <v>200000</v>
      </c>
      <c r="M295" s="1" t="s">
        <v>319</v>
      </c>
    </row>
    <row r="296" spans="1:13" x14ac:dyDescent="0.25">
      <c r="A296" s="1" t="s">
        <v>47</v>
      </c>
      <c r="B296" s="1" t="s">
        <v>382</v>
      </c>
      <c r="C296" s="1" t="s">
        <v>1894</v>
      </c>
      <c r="D296" s="1" t="s">
        <v>333</v>
      </c>
      <c r="E296" s="1" t="s">
        <v>16</v>
      </c>
      <c r="F296" s="1" t="s">
        <v>348</v>
      </c>
      <c r="G296" s="1" t="s">
        <v>580</v>
      </c>
      <c r="H296" s="1" t="s">
        <v>570</v>
      </c>
      <c r="I296" s="1" t="s">
        <v>1065</v>
      </c>
      <c r="J296" s="1" t="s">
        <v>319</v>
      </c>
      <c r="K296" s="1" t="s">
        <v>573</v>
      </c>
      <c r="L296" s="5">
        <v>200000</v>
      </c>
      <c r="M296" s="1" t="s">
        <v>348</v>
      </c>
    </row>
    <row r="297" spans="1:13" x14ac:dyDescent="0.25">
      <c r="A297" s="1" t="s">
        <v>242</v>
      </c>
      <c r="B297" s="1" t="s">
        <v>382</v>
      </c>
      <c r="C297" s="1" t="s">
        <v>917</v>
      </c>
      <c r="D297" s="1" t="s">
        <v>555</v>
      </c>
      <c r="E297" s="1" t="s">
        <v>16</v>
      </c>
      <c r="F297" s="1" t="s">
        <v>918</v>
      </c>
      <c r="G297" s="1" t="s">
        <v>627</v>
      </c>
      <c r="H297" s="1" t="s">
        <v>586</v>
      </c>
      <c r="I297" s="1" t="s">
        <v>919</v>
      </c>
      <c r="J297" s="1" t="s">
        <v>918</v>
      </c>
      <c r="K297" s="1" t="s">
        <v>920</v>
      </c>
      <c r="L297" s="5">
        <v>200000</v>
      </c>
      <c r="M297" s="1" t="s">
        <v>332</v>
      </c>
    </row>
    <row r="298" spans="1:13" x14ac:dyDescent="0.25">
      <c r="A298" s="1" t="s">
        <v>242</v>
      </c>
      <c r="B298" s="1" t="s">
        <v>382</v>
      </c>
      <c r="C298" s="1" t="s">
        <v>917</v>
      </c>
      <c r="D298" s="1" t="s">
        <v>555</v>
      </c>
      <c r="E298" s="1" t="s">
        <v>16</v>
      </c>
      <c r="F298" s="1" t="s">
        <v>918</v>
      </c>
      <c r="G298" s="1" t="s">
        <v>627</v>
      </c>
      <c r="H298" s="1" t="s">
        <v>586</v>
      </c>
      <c r="I298" s="1" t="s">
        <v>1604</v>
      </c>
      <c r="J298" s="1" t="s">
        <v>332</v>
      </c>
      <c r="K298" s="1" t="s">
        <v>920</v>
      </c>
      <c r="L298" s="5">
        <v>200000</v>
      </c>
      <c r="M298" s="1" t="s">
        <v>349</v>
      </c>
    </row>
    <row r="299" spans="1:13" x14ac:dyDescent="0.25">
      <c r="A299" s="1" t="s">
        <v>275</v>
      </c>
      <c r="B299" s="1" t="s">
        <v>326</v>
      </c>
      <c r="C299" s="1" t="s">
        <v>1269</v>
      </c>
      <c r="D299" s="1" t="s">
        <v>441</v>
      </c>
      <c r="E299" s="1" t="s">
        <v>336</v>
      </c>
      <c r="F299" s="1" t="s">
        <v>1270</v>
      </c>
      <c r="G299" s="1" t="s">
        <v>767</v>
      </c>
      <c r="H299" s="1" t="s">
        <v>570</v>
      </c>
      <c r="I299" s="1" t="s">
        <v>1271</v>
      </c>
      <c r="J299" s="1" t="s">
        <v>1270</v>
      </c>
      <c r="K299" s="1" t="s">
        <v>573</v>
      </c>
      <c r="L299" s="5">
        <v>450000</v>
      </c>
      <c r="M299" s="1" t="s">
        <v>339</v>
      </c>
    </row>
    <row r="300" spans="1:13" x14ac:dyDescent="0.25">
      <c r="A300" s="1" t="s">
        <v>111</v>
      </c>
      <c r="B300" s="1" t="s">
        <v>376</v>
      </c>
      <c r="C300" s="1" t="s">
        <v>1075</v>
      </c>
      <c r="D300" s="1" t="s">
        <v>335</v>
      </c>
      <c r="E300" s="1" t="s">
        <v>405</v>
      </c>
      <c r="F300" s="1" t="s">
        <v>1076</v>
      </c>
      <c r="G300" s="1" t="s">
        <v>617</v>
      </c>
      <c r="H300" s="1" t="s">
        <v>570</v>
      </c>
      <c r="I300" s="1" t="s">
        <v>1077</v>
      </c>
      <c r="J300" s="1" t="s">
        <v>834</v>
      </c>
      <c r="K300" s="1" t="s">
        <v>1078</v>
      </c>
      <c r="L300" s="5">
        <v>500000</v>
      </c>
      <c r="M300" s="1" t="s">
        <v>338</v>
      </c>
    </row>
    <row r="301" spans="1:13" x14ac:dyDescent="0.25">
      <c r="A301" s="1" t="s">
        <v>255</v>
      </c>
      <c r="B301" s="1" t="s">
        <v>382</v>
      </c>
      <c r="C301" s="1" t="s">
        <v>2132</v>
      </c>
      <c r="D301" s="1" t="s">
        <v>335</v>
      </c>
      <c r="E301" s="1" t="s">
        <v>405</v>
      </c>
      <c r="F301" s="1" t="s">
        <v>383</v>
      </c>
      <c r="G301" s="1" t="s">
        <v>609</v>
      </c>
      <c r="H301" s="1" t="s">
        <v>570</v>
      </c>
      <c r="I301" s="1" t="s">
        <v>2133</v>
      </c>
      <c r="J301" s="1" t="s">
        <v>2134</v>
      </c>
      <c r="K301" s="1" t="s">
        <v>578</v>
      </c>
      <c r="L301" s="5">
        <v>300000</v>
      </c>
      <c r="M301" s="1" t="s">
        <v>383</v>
      </c>
    </row>
    <row r="302" spans="1:13" x14ac:dyDescent="0.25">
      <c r="A302" s="1" t="s">
        <v>638</v>
      </c>
      <c r="B302" s="1" t="s">
        <v>376</v>
      </c>
      <c r="C302" s="1" t="s">
        <v>639</v>
      </c>
      <c r="D302" s="1" t="s">
        <v>364</v>
      </c>
      <c r="E302" s="1" t="s">
        <v>16</v>
      </c>
      <c r="F302" s="1" t="s">
        <v>640</v>
      </c>
      <c r="G302" s="1" t="s">
        <v>641</v>
      </c>
      <c r="H302" s="1" t="s">
        <v>570</v>
      </c>
      <c r="I302" s="1" t="s">
        <v>642</v>
      </c>
      <c r="J302" s="1" t="s">
        <v>643</v>
      </c>
      <c r="K302" s="1" t="s">
        <v>644</v>
      </c>
      <c r="L302" s="5">
        <v>7000000</v>
      </c>
      <c r="M302" s="1" t="s">
        <v>318</v>
      </c>
    </row>
    <row r="303" spans="1:13" x14ac:dyDescent="0.25">
      <c r="A303" s="1" t="s">
        <v>327</v>
      </c>
      <c r="B303" s="1" t="s">
        <v>324</v>
      </c>
      <c r="C303" s="1" t="s">
        <v>690</v>
      </c>
      <c r="D303" s="1" t="s">
        <v>336</v>
      </c>
      <c r="E303" s="1" t="s">
        <v>16</v>
      </c>
      <c r="F303" s="1" t="s">
        <v>318</v>
      </c>
      <c r="G303" s="1" t="s">
        <v>678</v>
      </c>
      <c r="H303" s="1" t="s">
        <v>586</v>
      </c>
      <c r="I303" s="1" t="s">
        <v>618</v>
      </c>
      <c r="J303" s="1" t="s">
        <v>667</v>
      </c>
      <c r="K303" s="1" t="s">
        <v>573</v>
      </c>
      <c r="L303" s="5">
        <v>1200000</v>
      </c>
      <c r="M303" s="1" t="s">
        <v>318</v>
      </c>
    </row>
    <row r="304" spans="1:13" x14ac:dyDescent="0.25">
      <c r="A304" s="1" t="s">
        <v>1952</v>
      </c>
      <c r="B304" s="1" t="s">
        <v>0</v>
      </c>
      <c r="C304" s="1" t="s">
        <v>1953</v>
      </c>
      <c r="D304" s="1" t="s">
        <v>337</v>
      </c>
      <c r="E304" s="1" t="s">
        <v>16</v>
      </c>
      <c r="F304" s="1" t="s">
        <v>345</v>
      </c>
      <c r="G304" s="1" t="s">
        <v>596</v>
      </c>
      <c r="H304" s="1" t="s">
        <v>16</v>
      </c>
      <c r="I304" s="1" t="s">
        <v>735</v>
      </c>
      <c r="J304" s="1" t="s">
        <v>1954</v>
      </c>
      <c r="K304" s="1" t="s">
        <v>573</v>
      </c>
      <c r="L304" s="5">
        <v>25000</v>
      </c>
      <c r="M304" s="1" t="s">
        <v>345</v>
      </c>
    </row>
    <row r="305" spans="1:13" x14ac:dyDescent="0.25">
      <c r="A305" s="1" t="s">
        <v>519</v>
      </c>
      <c r="B305" s="1" t="s">
        <v>331</v>
      </c>
      <c r="C305" s="1" t="s">
        <v>659</v>
      </c>
      <c r="D305" s="1" t="s">
        <v>400</v>
      </c>
      <c r="E305" s="1" t="s">
        <v>16</v>
      </c>
      <c r="F305" s="1" t="s">
        <v>318</v>
      </c>
      <c r="G305" s="1" t="s">
        <v>660</v>
      </c>
      <c r="H305" s="1" t="s">
        <v>570</v>
      </c>
      <c r="I305" s="1" t="s">
        <v>661</v>
      </c>
      <c r="J305" s="1" t="s">
        <v>662</v>
      </c>
      <c r="K305" s="1" t="s">
        <v>578</v>
      </c>
      <c r="L305" s="5">
        <v>500000</v>
      </c>
      <c r="M305" s="1" t="s">
        <v>318</v>
      </c>
    </row>
    <row r="306" spans="1:13" x14ac:dyDescent="0.25">
      <c r="A306" s="1" t="s">
        <v>285</v>
      </c>
      <c r="B306" s="1" t="s">
        <v>0</v>
      </c>
      <c r="C306" s="1" t="s">
        <v>1770</v>
      </c>
      <c r="D306" s="1" t="s">
        <v>337</v>
      </c>
      <c r="E306" s="1" t="s">
        <v>16</v>
      </c>
      <c r="F306" s="1" t="s">
        <v>340</v>
      </c>
      <c r="G306" s="1" t="s">
        <v>575</v>
      </c>
      <c r="H306" s="1" t="s">
        <v>16</v>
      </c>
      <c r="I306" s="3">
        <v>43531</v>
      </c>
      <c r="J306" s="1" t="s">
        <v>1771</v>
      </c>
      <c r="K306" s="1" t="s">
        <v>615</v>
      </c>
      <c r="L306" s="5">
        <v>400000</v>
      </c>
      <c r="M306" s="1" t="s">
        <v>340</v>
      </c>
    </row>
    <row r="307" spans="1:13" x14ac:dyDescent="0.25">
      <c r="A307" s="1" t="s">
        <v>288</v>
      </c>
      <c r="B307" s="1" t="s">
        <v>328</v>
      </c>
      <c r="C307" s="1" t="s">
        <v>1847</v>
      </c>
      <c r="D307" s="1" t="s">
        <v>337</v>
      </c>
      <c r="E307" s="1" t="s">
        <v>16</v>
      </c>
      <c r="F307" s="1" t="s">
        <v>340</v>
      </c>
      <c r="G307" s="1" t="s">
        <v>769</v>
      </c>
      <c r="H307" s="1" t="s">
        <v>570</v>
      </c>
      <c r="I307" s="1" t="s">
        <v>1848</v>
      </c>
      <c r="J307" s="1" t="s">
        <v>1282</v>
      </c>
      <c r="K307" s="1" t="s">
        <v>578</v>
      </c>
      <c r="L307" s="5">
        <v>800000</v>
      </c>
      <c r="M307" s="1" t="s">
        <v>340</v>
      </c>
    </row>
    <row r="308" spans="1:13" x14ac:dyDescent="0.25">
      <c r="A308" s="1" t="s">
        <v>168</v>
      </c>
      <c r="B308" s="1" t="s">
        <v>325</v>
      </c>
      <c r="C308" s="1" t="s">
        <v>730</v>
      </c>
      <c r="D308" s="1" t="s">
        <v>337</v>
      </c>
      <c r="E308" s="1" t="s">
        <v>16</v>
      </c>
      <c r="F308" s="1" t="s">
        <v>731</v>
      </c>
      <c r="G308" s="1" t="s">
        <v>585</v>
      </c>
      <c r="H308" s="1" t="s">
        <v>605</v>
      </c>
      <c r="I308" s="1" t="s">
        <v>732</v>
      </c>
      <c r="J308" s="1" t="s">
        <v>733</v>
      </c>
      <c r="K308" s="1" t="s">
        <v>573</v>
      </c>
      <c r="L308" s="5">
        <v>100000</v>
      </c>
      <c r="M308" s="1" t="s">
        <v>318</v>
      </c>
    </row>
    <row r="309" spans="1:13" x14ac:dyDescent="0.25">
      <c r="A309" s="1" t="s">
        <v>168</v>
      </c>
      <c r="B309" s="1" t="s">
        <v>325</v>
      </c>
      <c r="C309" s="1" t="s">
        <v>730</v>
      </c>
      <c r="D309" s="1" t="s">
        <v>337</v>
      </c>
      <c r="E309" s="1" t="s">
        <v>16</v>
      </c>
      <c r="F309" s="1" t="s">
        <v>731</v>
      </c>
      <c r="G309" s="1" t="s">
        <v>585</v>
      </c>
      <c r="H309" s="1" t="s">
        <v>605</v>
      </c>
      <c r="I309" s="1" t="s">
        <v>1046</v>
      </c>
      <c r="J309" s="1" t="s">
        <v>318</v>
      </c>
      <c r="K309" s="1" t="s">
        <v>573</v>
      </c>
      <c r="L309" s="5">
        <v>100000</v>
      </c>
      <c r="M309" s="1" t="s">
        <v>341</v>
      </c>
    </row>
    <row r="310" spans="1:13" x14ac:dyDescent="0.25">
      <c r="A310" s="1" t="s">
        <v>375</v>
      </c>
      <c r="B310" s="1" t="s">
        <v>330</v>
      </c>
      <c r="C310" s="1" t="s">
        <v>1015</v>
      </c>
      <c r="D310" s="1" t="s">
        <v>337</v>
      </c>
      <c r="E310" s="1" t="s">
        <v>16</v>
      </c>
      <c r="F310" s="1" t="s">
        <v>1016</v>
      </c>
      <c r="G310" s="1" t="s">
        <v>656</v>
      </c>
      <c r="H310" s="1" t="s">
        <v>570</v>
      </c>
      <c r="I310" s="1" t="s">
        <v>1017</v>
      </c>
      <c r="J310" s="1" t="s">
        <v>985</v>
      </c>
      <c r="K310" s="1" t="s">
        <v>573</v>
      </c>
      <c r="L310" s="5">
        <v>8000000</v>
      </c>
      <c r="M310" s="1" t="s">
        <v>341</v>
      </c>
    </row>
    <row r="311" spans="1:13" x14ac:dyDescent="0.25">
      <c r="A311" s="1" t="s">
        <v>1800</v>
      </c>
      <c r="B311" s="1" t="s">
        <v>382</v>
      </c>
      <c r="C311" s="1" t="s">
        <v>1801</v>
      </c>
      <c r="D311" s="1" t="s">
        <v>337</v>
      </c>
      <c r="E311" s="1" t="s">
        <v>16</v>
      </c>
      <c r="F311" s="1" t="s">
        <v>340</v>
      </c>
      <c r="G311" s="1" t="s">
        <v>585</v>
      </c>
      <c r="H311" s="1" t="s">
        <v>16</v>
      </c>
      <c r="I311" s="1" t="s">
        <v>618</v>
      </c>
      <c r="J311" s="1" t="s">
        <v>1282</v>
      </c>
      <c r="K311" s="1" t="s">
        <v>578</v>
      </c>
      <c r="L311" s="5">
        <v>25000</v>
      </c>
      <c r="M311" s="1" t="s">
        <v>340</v>
      </c>
    </row>
    <row r="312" spans="1:13" x14ac:dyDescent="0.25">
      <c r="A312" s="1" t="s">
        <v>1025</v>
      </c>
      <c r="B312" s="1" t="s">
        <v>324</v>
      </c>
      <c r="C312" s="1" t="s">
        <v>1026</v>
      </c>
      <c r="D312" s="1" t="s">
        <v>337</v>
      </c>
      <c r="E312" s="1" t="s">
        <v>16</v>
      </c>
      <c r="F312" s="1" t="s">
        <v>341</v>
      </c>
      <c r="G312" s="1" t="s">
        <v>684</v>
      </c>
      <c r="H312" s="1" t="s">
        <v>16</v>
      </c>
      <c r="I312" s="3">
        <v>44623</v>
      </c>
      <c r="J312" s="1" t="s">
        <v>985</v>
      </c>
      <c r="K312" s="1" t="s">
        <v>615</v>
      </c>
      <c r="L312" s="5">
        <v>25000</v>
      </c>
      <c r="M312" s="1" t="s">
        <v>341</v>
      </c>
    </row>
    <row r="313" spans="1:13" x14ac:dyDescent="0.25">
      <c r="A313" s="1" t="s">
        <v>294</v>
      </c>
      <c r="B313" s="1" t="s">
        <v>324</v>
      </c>
      <c r="C313" s="1" t="s">
        <v>1841</v>
      </c>
      <c r="D313" s="1" t="s">
        <v>337</v>
      </c>
      <c r="E313" s="1" t="s">
        <v>16</v>
      </c>
      <c r="F313" s="1" t="s">
        <v>340</v>
      </c>
      <c r="G313" s="1" t="s">
        <v>612</v>
      </c>
      <c r="H313" s="1" t="s">
        <v>16</v>
      </c>
      <c r="I313" s="1" t="s">
        <v>634</v>
      </c>
      <c r="J313" s="1" t="s">
        <v>1282</v>
      </c>
      <c r="K313" s="1" t="s">
        <v>615</v>
      </c>
      <c r="L313" s="5">
        <v>25000</v>
      </c>
      <c r="M313" s="1" t="s">
        <v>340</v>
      </c>
    </row>
    <row r="314" spans="1:13" x14ac:dyDescent="0.25">
      <c r="A314" s="1" t="s">
        <v>1423</v>
      </c>
      <c r="B314" s="1" t="s">
        <v>352</v>
      </c>
      <c r="C314" s="1" t="s">
        <v>1424</v>
      </c>
      <c r="D314" s="1" t="s">
        <v>337</v>
      </c>
      <c r="E314" s="1" t="s">
        <v>16</v>
      </c>
      <c r="F314" s="1" t="s">
        <v>708</v>
      </c>
      <c r="G314" s="1" t="s">
        <v>609</v>
      </c>
      <c r="H314" s="1" t="s">
        <v>570</v>
      </c>
      <c r="I314" s="1" t="s">
        <v>592</v>
      </c>
      <c r="J314" s="1" t="s">
        <v>847</v>
      </c>
      <c r="K314" s="1" t="s">
        <v>615</v>
      </c>
      <c r="L314" s="5" t="s">
        <v>16</v>
      </c>
      <c r="M314" s="1" t="s">
        <v>317</v>
      </c>
    </row>
    <row r="315" spans="1:13" x14ac:dyDescent="0.25">
      <c r="A315" s="1" t="s">
        <v>234</v>
      </c>
      <c r="B315" s="1" t="s">
        <v>382</v>
      </c>
      <c r="C315" s="1" t="s">
        <v>1969</v>
      </c>
      <c r="D315" s="1" t="s">
        <v>337</v>
      </c>
      <c r="E315" s="1" t="s">
        <v>16</v>
      </c>
      <c r="F315" s="1" t="s">
        <v>1970</v>
      </c>
      <c r="G315" s="1" t="s">
        <v>569</v>
      </c>
      <c r="H315" s="1" t="s">
        <v>570</v>
      </c>
      <c r="I315" s="1" t="s">
        <v>618</v>
      </c>
      <c r="J315" s="1" t="s">
        <v>841</v>
      </c>
      <c r="K315" s="1" t="s">
        <v>658</v>
      </c>
      <c r="L315" s="5">
        <v>50000</v>
      </c>
      <c r="M315" s="1" t="s">
        <v>345</v>
      </c>
    </row>
    <row r="316" spans="1:13" x14ac:dyDescent="0.25">
      <c r="A316" s="1" t="s">
        <v>2130</v>
      </c>
      <c r="B316" s="1" t="s">
        <v>0</v>
      </c>
      <c r="C316" s="1" t="s">
        <v>2131</v>
      </c>
      <c r="D316" s="1" t="s">
        <v>337</v>
      </c>
      <c r="E316" s="1" t="s">
        <v>16</v>
      </c>
      <c r="F316" s="1" t="s">
        <v>1472</v>
      </c>
      <c r="G316" s="1" t="s">
        <v>585</v>
      </c>
      <c r="H316" s="1" t="s">
        <v>570</v>
      </c>
      <c r="I316" s="1" t="s">
        <v>1260</v>
      </c>
      <c r="J316" s="1" t="s">
        <v>836</v>
      </c>
      <c r="K316" s="1" t="s">
        <v>615</v>
      </c>
      <c r="L316" s="5">
        <v>50000</v>
      </c>
      <c r="M316" s="1" t="s">
        <v>383</v>
      </c>
    </row>
    <row r="317" spans="1:13" x14ac:dyDescent="0.25">
      <c r="A317" s="1" t="s">
        <v>1873</v>
      </c>
      <c r="B317" s="1" t="s">
        <v>324</v>
      </c>
      <c r="C317" s="1" t="s">
        <v>1908</v>
      </c>
      <c r="D317" s="1" t="s">
        <v>337</v>
      </c>
      <c r="E317" s="1" t="s">
        <v>16</v>
      </c>
      <c r="F317" s="1" t="s">
        <v>739</v>
      </c>
      <c r="G317" s="1" t="s">
        <v>791</v>
      </c>
      <c r="H317" s="1" t="s">
        <v>605</v>
      </c>
      <c r="I317" s="1" t="s">
        <v>1924</v>
      </c>
      <c r="J317" s="1" t="s">
        <v>1925</v>
      </c>
      <c r="K317" s="1" t="s">
        <v>615</v>
      </c>
      <c r="L317" s="5">
        <v>150000</v>
      </c>
      <c r="M317" s="1" t="s">
        <v>319</v>
      </c>
    </row>
    <row r="318" spans="1:13" x14ac:dyDescent="0.25">
      <c r="A318" s="1" t="s">
        <v>122</v>
      </c>
      <c r="B318" s="1" t="s">
        <v>325</v>
      </c>
      <c r="C318" s="1" t="s">
        <v>1126</v>
      </c>
      <c r="D318" s="1" t="s">
        <v>337</v>
      </c>
      <c r="E318" s="1" t="s">
        <v>16</v>
      </c>
      <c r="F318" s="1" t="s">
        <v>338</v>
      </c>
      <c r="G318" s="1" t="s">
        <v>591</v>
      </c>
      <c r="H318" s="1" t="s">
        <v>570</v>
      </c>
      <c r="I318" s="1" t="s">
        <v>1127</v>
      </c>
      <c r="J318" s="1" t="s">
        <v>1061</v>
      </c>
      <c r="K318" s="1" t="s">
        <v>578</v>
      </c>
      <c r="L318" s="5">
        <v>1200000</v>
      </c>
      <c r="M318" s="1" t="s">
        <v>338</v>
      </c>
    </row>
    <row r="319" spans="1:13" x14ac:dyDescent="0.25">
      <c r="A319" s="1" t="s">
        <v>135</v>
      </c>
      <c r="B319" s="1" t="s">
        <v>352</v>
      </c>
      <c r="C319" s="1" t="s">
        <v>680</v>
      </c>
      <c r="D319" s="1" t="s">
        <v>337</v>
      </c>
      <c r="E319" s="1" t="s">
        <v>16</v>
      </c>
      <c r="F319" s="1" t="s">
        <v>681</v>
      </c>
      <c r="G319" s="1" t="s">
        <v>678</v>
      </c>
      <c r="H319" s="1" t="s">
        <v>605</v>
      </c>
      <c r="I319" s="1" t="s">
        <v>682</v>
      </c>
      <c r="J319" s="1" t="s">
        <v>577</v>
      </c>
      <c r="K319" s="1" t="s">
        <v>573</v>
      </c>
      <c r="L319" s="5">
        <v>300000</v>
      </c>
      <c r="M319" s="1" t="s">
        <v>318</v>
      </c>
    </row>
    <row r="320" spans="1:13" x14ac:dyDescent="0.25">
      <c r="A320" s="1" t="s">
        <v>2145</v>
      </c>
      <c r="B320" s="1" t="s">
        <v>382</v>
      </c>
      <c r="C320" s="1" t="s">
        <v>2146</v>
      </c>
      <c r="D320" s="1" t="s">
        <v>337</v>
      </c>
      <c r="E320" s="1" t="s">
        <v>16</v>
      </c>
      <c r="F320" s="1" t="s">
        <v>383</v>
      </c>
      <c r="G320" s="1" t="s">
        <v>633</v>
      </c>
      <c r="H320" s="1" t="s">
        <v>16</v>
      </c>
      <c r="I320" s="1" t="s">
        <v>1495</v>
      </c>
      <c r="J320" s="1" t="s">
        <v>2144</v>
      </c>
      <c r="K320" s="1" t="s">
        <v>615</v>
      </c>
      <c r="L320" s="5" t="s">
        <v>16</v>
      </c>
      <c r="M320" s="1" t="s">
        <v>383</v>
      </c>
    </row>
    <row r="321" spans="1:13" x14ac:dyDescent="0.25">
      <c r="A321" s="1" t="s">
        <v>706</v>
      </c>
      <c r="B321" s="1" t="s">
        <v>326</v>
      </c>
      <c r="C321" s="1" t="s">
        <v>707</v>
      </c>
      <c r="D321" s="1" t="s">
        <v>337</v>
      </c>
      <c r="E321" s="1" t="s">
        <v>16</v>
      </c>
      <c r="F321" s="1" t="s">
        <v>708</v>
      </c>
      <c r="G321" s="1" t="s">
        <v>709</v>
      </c>
      <c r="H321" s="1" t="s">
        <v>16</v>
      </c>
      <c r="I321" s="1" t="s">
        <v>16</v>
      </c>
      <c r="J321" s="1"/>
      <c r="K321" s="1" t="s">
        <v>578</v>
      </c>
      <c r="L321" s="5">
        <v>25000</v>
      </c>
      <c r="M321" s="1" t="s">
        <v>318</v>
      </c>
    </row>
    <row r="322" spans="1:13" x14ac:dyDescent="0.25">
      <c r="A322" s="1" t="s">
        <v>527</v>
      </c>
      <c r="B322" s="1" t="s">
        <v>330</v>
      </c>
      <c r="C322" s="1" t="s">
        <v>604</v>
      </c>
      <c r="D322" s="1" t="s">
        <v>337</v>
      </c>
      <c r="E322" s="1" t="s">
        <v>16</v>
      </c>
      <c r="F322" s="1" t="s">
        <v>341</v>
      </c>
      <c r="G322" s="1" t="s">
        <v>702</v>
      </c>
      <c r="H322" s="1" t="s">
        <v>586</v>
      </c>
      <c r="I322" s="1" t="s">
        <v>1019</v>
      </c>
      <c r="J322" s="1" t="s">
        <v>985</v>
      </c>
      <c r="K322" s="1" t="s">
        <v>615</v>
      </c>
      <c r="L322" s="5">
        <v>400000</v>
      </c>
      <c r="M322" s="1" t="s">
        <v>341</v>
      </c>
    </row>
    <row r="323" spans="1:13" x14ac:dyDescent="0.25">
      <c r="A323" s="1" t="s">
        <v>447</v>
      </c>
      <c r="B323" s="1" t="s">
        <v>325</v>
      </c>
      <c r="C323" s="1" t="s">
        <v>2111</v>
      </c>
      <c r="D323" s="1" t="s">
        <v>337</v>
      </c>
      <c r="E323" s="1" t="s">
        <v>16</v>
      </c>
      <c r="F323" s="1" t="s">
        <v>316</v>
      </c>
      <c r="G323" s="1" t="s">
        <v>722</v>
      </c>
      <c r="H323" s="1" t="s">
        <v>570</v>
      </c>
      <c r="I323" s="1" t="s">
        <v>2112</v>
      </c>
      <c r="J323" s="1" t="s">
        <v>1916</v>
      </c>
      <c r="K323" s="1" t="s">
        <v>573</v>
      </c>
      <c r="L323" s="5">
        <v>250000</v>
      </c>
      <c r="M323" s="1" t="s">
        <v>316</v>
      </c>
    </row>
    <row r="324" spans="1:13" x14ac:dyDescent="0.25">
      <c r="A324" s="1" t="s">
        <v>1703</v>
      </c>
      <c r="B324" s="1" t="s">
        <v>376</v>
      </c>
      <c r="C324" s="1" t="s">
        <v>1704</v>
      </c>
      <c r="D324" s="1" t="s">
        <v>337</v>
      </c>
      <c r="E324" s="1" t="s">
        <v>16</v>
      </c>
      <c r="F324" s="1" t="s">
        <v>361</v>
      </c>
      <c r="G324" s="1" t="s">
        <v>612</v>
      </c>
      <c r="H324" s="1" t="s">
        <v>570</v>
      </c>
      <c r="I324" s="1" t="s">
        <v>618</v>
      </c>
      <c r="J324" s="1" t="s">
        <v>836</v>
      </c>
      <c r="K324" s="1" t="s">
        <v>578</v>
      </c>
      <c r="L324" s="5">
        <v>250000</v>
      </c>
      <c r="M324" s="1" t="s">
        <v>361</v>
      </c>
    </row>
    <row r="325" spans="1:13" x14ac:dyDescent="0.25">
      <c r="A325" s="1" t="s">
        <v>583</v>
      </c>
      <c r="B325" s="1" t="s">
        <v>0</v>
      </c>
      <c r="C325" s="1" t="s">
        <v>584</v>
      </c>
      <c r="D325" s="1" t="s">
        <v>337</v>
      </c>
      <c r="E325" s="1" t="s">
        <v>16</v>
      </c>
      <c r="F325" s="1" t="s">
        <v>318</v>
      </c>
      <c r="G325" s="1" t="s">
        <v>585</v>
      </c>
      <c r="H325" s="1" t="s">
        <v>586</v>
      </c>
      <c r="I325" s="1" t="s">
        <v>587</v>
      </c>
      <c r="J325" s="1" t="s">
        <v>577</v>
      </c>
      <c r="K325" s="1" t="s">
        <v>588</v>
      </c>
      <c r="L325" s="5">
        <v>300000</v>
      </c>
      <c r="M325" s="1" t="s">
        <v>318</v>
      </c>
    </row>
    <row r="326" spans="1:13" x14ac:dyDescent="0.25">
      <c r="A326" s="1" t="s">
        <v>188</v>
      </c>
      <c r="B326" s="1" t="s">
        <v>0</v>
      </c>
      <c r="C326" s="1" t="s">
        <v>906</v>
      </c>
      <c r="D326" s="1" t="s">
        <v>337</v>
      </c>
      <c r="E326" s="1" t="s">
        <v>16</v>
      </c>
      <c r="F326" s="1" t="s">
        <v>332</v>
      </c>
      <c r="G326" s="1" t="s">
        <v>591</v>
      </c>
      <c r="H326" s="1" t="s">
        <v>605</v>
      </c>
      <c r="I326" s="1" t="s">
        <v>864</v>
      </c>
      <c r="J326" s="1" t="s">
        <v>865</v>
      </c>
      <c r="K326" s="1" t="s">
        <v>578</v>
      </c>
      <c r="L326" s="5">
        <v>700000</v>
      </c>
      <c r="M326" s="1" t="s">
        <v>332</v>
      </c>
    </row>
    <row r="327" spans="1:13" x14ac:dyDescent="0.25">
      <c r="A327" s="1" t="s">
        <v>547</v>
      </c>
      <c r="B327" s="1" t="s">
        <v>0</v>
      </c>
      <c r="C327" s="1" t="s">
        <v>1884</v>
      </c>
      <c r="D327" s="1" t="s">
        <v>557</v>
      </c>
      <c r="E327" s="1" t="s">
        <v>337</v>
      </c>
      <c r="F327" s="1" t="s">
        <v>1885</v>
      </c>
      <c r="G327" s="1" t="s">
        <v>575</v>
      </c>
      <c r="H327" s="1" t="s">
        <v>16</v>
      </c>
      <c r="I327" s="1" t="s">
        <v>634</v>
      </c>
      <c r="J327" s="1" t="s">
        <v>1886</v>
      </c>
      <c r="K327" s="1" t="s">
        <v>16</v>
      </c>
      <c r="L327" s="5">
        <v>25000</v>
      </c>
      <c r="M327" s="1" t="s">
        <v>319</v>
      </c>
    </row>
    <row r="328" spans="1:13" x14ac:dyDescent="0.25">
      <c r="A328" s="1" t="s">
        <v>253</v>
      </c>
      <c r="B328" s="1" t="s">
        <v>324</v>
      </c>
      <c r="C328" s="1" t="s">
        <v>1646</v>
      </c>
      <c r="D328" s="1" t="s">
        <v>337</v>
      </c>
      <c r="E328" s="1" t="s">
        <v>16</v>
      </c>
      <c r="F328" s="1" t="s">
        <v>349</v>
      </c>
      <c r="G328" s="1" t="s">
        <v>767</v>
      </c>
      <c r="H328" s="1" t="s">
        <v>16</v>
      </c>
      <c r="I328" s="3">
        <v>43536</v>
      </c>
      <c r="J328" s="1" t="s">
        <v>1647</v>
      </c>
      <c r="K328" s="1" t="s">
        <v>578</v>
      </c>
      <c r="L328" s="5">
        <v>100000</v>
      </c>
      <c r="M328" s="1" t="s">
        <v>349</v>
      </c>
    </row>
    <row r="329" spans="1:13" x14ac:dyDescent="0.25">
      <c r="A329" s="1" t="s">
        <v>162</v>
      </c>
      <c r="B329" s="1" t="s">
        <v>331</v>
      </c>
      <c r="C329" s="1" t="s">
        <v>790</v>
      </c>
      <c r="D329" s="1" t="s">
        <v>337</v>
      </c>
      <c r="E329" s="1" t="s">
        <v>16</v>
      </c>
      <c r="F329" s="1" t="s">
        <v>912</v>
      </c>
      <c r="G329" s="1" t="s">
        <v>617</v>
      </c>
      <c r="H329" s="1" t="s">
        <v>586</v>
      </c>
      <c r="I329" s="1" t="s">
        <v>872</v>
      </c>
      <c r="J329" s="1" t="s">
        <v>1009</v>
      </c>
      <c r="K329" s="1" t="s">
        <v>588</v>
      </c>
      <c r="L329" s="5">
        <v>700000</v>
      </c>
      <c r="M329" s="1" t="s">
        <v>341</v>
      </c>
    </row>
    <row r="330" spans="1:13" x14ac:dyDescent="0.25">
      <c r="A330" s="1" t="s">
        <v>1876</v>
      </c>
      <c r="B330" s="1" t="s">
        <v>325</v>
      </c>
      <c r="C330" s="1" t="s">
        <v>1943</v>
      </c>
      <c r="D330" s="1" t="s">
        <v>337</v>
      </c>
      <c r="E330" s="1" t="s">
        <v>16</v>
      </c>
      <c r="F330" s="1" t="s">
        <v>1904</v>
      </c>
      <c r="G330" s="1" t="s">
        <v>609</v>
      </c>
      <c r="H330" s="1" t="s">
        <v>570</v>
      </c>
      <c r="I330" s="1" t="s">
        <v>16</v>
      </c>
      <c r="J330" s="1"/>
      <c r="K330" s="1" t="s">
        <v>573</v>
      </c>
      <c r="L330" s="5">
        <v>25000</v>
      </c>
      <c r="M330" s="1" t="s">
        <v>319</v>
      </c>
    </row>
    <row r="331" spans="1:13" x14ac:dyDescent="0.25">
      <c r="A331" s="1" t="s">
        <v>165</v>
      </c>
      <c r="B331" s="1" t="s">
        <v>326</v>
      </c>
      <c r="C331" s="1" t="s">
        <v>1027</v>
      </c>
      <c r="D331" s="1" t="s">
        <v>337</v>
      </c>
      <c r="E331" s="1" t="s">
        <v>16</v>
      </c>
      <c r="F331" s="1" t="s">
        <v>341</v>
      </c>
      <c r="G331" s="1" t="s">
        <v>684</v>
      </c>
      <c r="H331" s="1" t="s">
        <v>570</v>
      </c>
      <c r="I331" s="1" t="s">
        <v>1028</v>
      </c>
      <c r="J331" s="1" t="s">
        <v>1029</v>
      </c>
      <c r="K331" s="1" t="s">
        <v>615</v>
      </c>
      <c r="L331" s="5">
        <v>800000</v>
      </c>
      <c r="M331" s="1" t="s">
        <v>341</v>
      </c>
    </row>
    <row r="332" spans="1:13" x14ac:dyDescent="0.25">
      <c r="A332" s="1" t="s">
        <v>1867</v>
      </c>
      <c r="B332" s="1" t="s">
        <v>382</v>
      </c>
      <c r="C332" s="1" t="s">
        <v>1111</v>
      </c>
      <c r="D332" s="1" t="s">
        <v>337</v>
      </c>
      <c r="E332" s="1" t="s">
        <v>16</v>
      </c>
      <c r="F332" s="1" t="s">
        <v>349</v>
      </c>
      <c r="G332" s="1" t="s">
        <v>722</v>
      </c>
      <c r="H332" s="1" t="s">
        <v>570</v>
      </c>
      <c r="I332" s="1" t="s">
        <v>922</v>
      </c>
      <c r="J332" s="1" t="s">
        <v>332</v>
      </c>
      <c r="K332" s="1" t="s">
        <v>615</v>
      </c>
      <c r="L332" s="5">
        <v>175000</v>
      </c>
      <c r="M332" s="1" t="s">
        <v>319</v>
      </c>
    </row>
    <row r="333" spans="1:13" x14ac:dyDescent="0.25">
      <c r="A333" s="1" t="s">
        <v>290</v>
      </c>
      <c r="B333" s="1" t="s">
        <v>382</v>
      </c>
      <c r="C333" s="1" t="s">
        <v>1789</v>
      </c>
      <c r="D333" s="1" t="s">
        <v>337</v>
      </c>
      <c r="E333" s="1" t="s">
        <v>16</v>
      </c>
      <c r="F333" s="1" t="s">
        <v>319</v>
      </c>
      <c r="G333" s="1" t="s">
        <v>722</v>
      </c>
      <c r="H333" s="1" t="s">
        <v>16</v>
      </c>
      <c r="I333" s="1" t="s">
        <v>1790</v>
      </c>
      <c r="J333" s="1" t="s">
        <v>1282</v>
      </c>
      <c r="K333" s="1" t="s">
        <v>573</v>
      </c>
      <c r="L333" s="5">
        <v>400000</v>
      </c>
      <c r="M333" s="1" t="s">
        <v>340</v>
      </c>
    </row>
    <row r="334" spans="1:13" x14ac:dyDescent="0.25">
      <c r="A334" s="1" t="s">
        <v>1488</v>
      </c>
      <c r="B334" s="1" t="s">
        <v>325</v>
      </c>
      <c r="C334" s="1" t="s">
        <v>1570</v>
      </c>
      <c r="D334" s="1" t="s">
        <v>337</v>
      </c>
      <c r="E334" s="1" t="s">
        <v>16</v>
      </c>
      <c r="F334" s="1" t="s">
        <v>23</v>
      </c>
      <c r="G334" s="1" t="s">
        <v>702</v>
      </c>
      <c r="H334" s="1" t="s">
        <v>16</v>
      </c>
      <c r="I334" s="1" t="s">
        <v>618</v>
      </c>
      <c r="J334" s="1" t="s">
        <v>701</v>
      </c>
      <c r="K334" s="1" t="s">
        <v>578</v>
      </c>
      <c r="L334" s="5">
        <v>150000</v>
      </c>
      <c r="M334" s="1" t="s">
        <v>23</v>
      </c>
    </row>
    <row r="335" spans="1:13" x14ac:dyDescent="0.25">
      <c r="A335" s="1" t="s">
        <v>52</v>
      </c>
      <c r="B335" s="1" t="s">
        <v>382</v>
      </c>
      <c r="C335" s="1" t="s">
        <v>2224</v>
      </c>
      <c r="D335" s="1" t="s">
        <v>337</v>
      </c>
      <c r="E335" s="1" t="s">
        <v>16</v>
      </c>
      <c r="F335" s="1" t="s">
        <v>739</v>
      </c>
      <c r="G335" s="1" t="s">
        <v>675</v>
      </c>
      <c r="H335" s="1" t="s">
        <v>586</v>
      </c>
      <c r="I335" s="1" t="s">
        <v>2225</v>
      </c>
      <c r="J335" s="1" t="s">
        <v>2042</v>
      </c>
      <c r="K335" s="1" t="s">
        <v>573</v>
      </c>
      <c r="L335" s="5">
        <v>100000</v>
      </c>
      <c r="M335" s="1" t="s">
        <v>348</v>
      </c>
    </row>
    <row r="336" spans="1:13" x14ac:dyDescent="0.25">
      <c r="A336" s="1" t="s">
        <v>30</v>
      </c>
      <c r="B336" s="1" t="s">
        <v>359</v>
      </c>
      <c r="C336" s="1" t="s">
        <v>1021</v>
      </c>
      <c r="D336" s="1" t="s">
        <v>337</v>
      </c>
      <c r="E336" s="1" t="s">
        <v>16</v>
      </c>
      <c r="F336" s="1" t="s">
        <v>23</v>
      </c>
      <c r="G336" s="1" t="s">
        <v>627</v>
      </c>
      <c r="H336" s="1" t="s">
        <v>586</v>
      </c>
      <c r="I336" s="1" t="s">
        <v>1500</v>
      </c>
      <c r="J336" s="1" t="s">
        <v>1302</v>
      </c>
      <c r="K336" s="1" t="s">
        <v>573</v>
      </c>
      <c r="L336" s="5">
        <v>900000</v>
      </c>
      <c r="M336" s="1" t="s">
        <v>23</v>
      </c>
    </row>
    <row r="337" spans="1:13" x14ac:dyDescent="0.25">
      <c r="A337" s="1" t="s">
        <v>1802</v>
      </c>
      <c r="B337" s="1" t="s">
        <v>382</v>
      </c>
      <c r="C337" s="1" t="s">
        <v>1803</v>
      </c>
      <c r="D337" s="1" t="s">
        <v>337</v>
      </c>
      <c r="E337" s="1" t="s">
        <v>16</v>
      </c>
      <c r="F337" s="1" t="s">
        <v>340</v>
      </c>
      <c r="G337" s="1" t="s">
        <v>684</v>
      </c>
      <c r="H337" s="1" t="s">
        <v>16</v>
      </c>
      <c r="I337" s="1" t="s">
        <v>634</v>
      </c>
      <c r="J337" s="1" t="s">
        <v>1282</v>
      </c>
      <c r="K337" s="1" t="s">
        <v>573</v>
      </c>
      <c r="L337" s="5">
        <v>25000</v>
      </c>
      <c r="M337" s="1" t="s">
        <v>340</v>
      </c>
    </row>
    <row r="338" spans="1:13" x14ac:dyDescent="0.25">
      <c r="A338" s="1" t="s">
        <v>155</v>
      </c>
      <c r="B338" s="1" t="s">
        <v>325</v>
      </c>
      <c r="C338" s="1" t="s">
        <v>1205</v>
      </c>
      <c r="D338" s="1" t="s">
        <v>337</v>
      </c>
      <c r="E338" s="1" t="s">
        <v>16</v>
      </c>
      <c r="F338" s="1" t="s">
        <v>344</v>
      </c>
      <c r="G338" s="1" t="s">
        <v>722</v>
      </c>
      <c r="H338" s="1" t="s">
        <v>586</v>
      </c>
      <c r="I338" s="1" t="s">
        <v>740</v>
      </c>
      <c r="J338" s="1" t="s">
        <v>1206</v>
      </c>
      <c r="K338" s="1" t="s">
        <v>615</v>
      </c>
      <c r="L338" s="5">
        <v>500000</v>
      </c>
      <c r="M338" s="1" t="s">
        <v>344</v>
      </c>
    </row>
    <row r="339" spans="1:13" x14ac:dyDescent="0.25">
      <c r="A339" s="1" t="s">
        <v>783</v>
      </c>
      <c r="B339" s="1" t="s">
        <v>331</v>
      </c>
      <c r="C339" s="1" t="s">
        <v>784</v>
      </c>
      <c r="D339" s="1" t="s">
        <v>364</v>
      </c>
      <c r="E339" s="1" t="s">
        <v>16</v>
      </c>
      <c r="F339" s="1" t="s">
        <v>845</v>
      </c>
      <c r="G339" s="1" t="s">
        <v>580</v>
      </c>
      <c r="H339" s="1" t="s">
        <v>605</v>
      </c>
      <c r="I339" s="1" t="s">
        <v>597</v>
      </c>
      <c r="J339" s="1" t="s">
        <v>846</v>
      </c>
      <c r="K339" s="1" t="s">
        <v>615</v>
      </c>
      <c r="L339" s="5">
        <v>600000</v>
      </c>
      <c r="M339" s="1" t="s">
        <v>334</v>
      </c>
    </row>
    <row r="340" spans="1:13" x14ac:dyDescent="0.25">
      <c r="A340" s="1" t="s">
        <v>185</v>
      </c>
      <c r="B340" s="1" t="s">
        <v>325</v>
      </c>
      <c r="C340" s="1" t="s">
        <v>1367</v>
      </c>
      <c r="D340" s="1" t="s">
        <v>337</v>
      </c>
      <c r="E340" s="1" t="s">
        <v>16</v>
      </c>
      <c r="F340" s="1" t="s">
        <v>1368</v>
      </c>
      <c r="G340" s="1" t="s">
        <v>775</v>
      </c>
      <c r="H340" s="1" t="s">
        <v>586</v>
      </c>
      <c r="I340" s="1" t="s">
        <v>1369</v>
      </c>
      <c r="J340" s="1" t="s">
        <v>339</v>
      </c>
      <c r="K340" s="1" t="s">
        <v>578</v>
      </c>
      <c r="L340" s="5">
        <v>1500000</v>
      </c>
      <c r="M340" s="1" t="s">
        <v>315</v>
      </c>
    </row>
    <row r="341" spans="1:13" x14ac:dyDescent="0.25">
      <c r="A341" s="1" t="s">
        <v>227</v>
      </c>
      <c r="B341" s="1" t="s">
        <v>324</v>
      </c>
      <c r="C341" s="1" t="s">
        <v>2025</v>
      </c>
      <c r="D341" s="1" t="s">
        <v>337</v>
      </c>
      <c r="E341" s="1" t="s">
        <v>16</v>
      </c>
      <c r="F341" s="1" t="s">
        <v>345</v>
      </c>
      <c r="G341" s="1" t="s">
        <v>1922</v>
      </c>
      <c r="H341" s="1" t="s">
        <v>586</v>
      </c>
      <c r="I341" s="1" t="s">
        <v>1343</v>
      </c>
      <c r="J341" s="1" t="s">
        <v>1968</v>
      </c>
      <c r="K341" s="1" t="s">
        <v>573</v>
      </c>
      <c r="L341" s="5">
        <v>25000</v>
      </c>
      <c r="M341" s="1" t="s">
        <v>345</v>
      </c>
    </row>
    <row r="342" spans="1:13" x14ac:dyDescent="0.25">
      <c r="A342" s="1" t="s">
        <v>36</v>
      </c>
      <c r="B342" s="1" t="s">
        <v>331</v>
      </c>
      <c r="C342" s="1" t="s">
        <v>1537</v>
      </c>
      <c r="D342" s="1" t="s">
        <v>337</v>
      </c>
      <c r="E342" s="1" t="s">
        <v>16</v>
      </c>
      <c r="F342" s="1" t="s">
        <v>23</v>
      </c>
      <c r="G342" s="1" t="s">
        <v>684</v>
      </c>
      <c r="H342" s="1" t="s">
        <v>586</v>
      </c>
      <c r="I342" s="1" t="s">
        <v>618</v>
      </c>
      <c r="J342" s="1" t="s">
        <v>1489</v>
      </c>
      <c r="K342" s="1" t="s">
        <v>588</v>
      </c>
      <c r="L342" s="5">
        <v>450000</v>
      </c>
      <c r="M342" s="1" t="s">
        <v>23</v>
      </c>
    </row>
    <row r="343" spans="1:13" x14ac:dyDescent="0.25">
      <c r="A343" s="1" t="s">
        <v>24</v>
      </c>
      <c r="B343" s="1" t="s">
        <v>0</v>
      </c>
      <c r="C343" s="1" t="s">
        <v>1507</v>
      </c>
      <c r="D343" s="1" t="s">
        <v>337</v>
      </c>
      <c r="E343" s="1" t="s">
        <v>16</v>
      </c>
      <c r="F343" s="1" t="s">
        <v>23</v>
      </c>
      <c r="G343" s="1" t="s">
        <v>580</v>
      </c>
      <c r="H343" s="1" t="s">
        <v>586</v>
      </c>
      <c r="I343" s="1" t="s">
        <v>647</v>
      </c>
      <c r="J343" s="1" t="s">
        <v>1489</v>
      </c>
      <c r="K343" s="1" t="s">
        <v>573</v>
      </c>
      <c r="L343" s="5">
        <v>1200000</v>
      </c>
      <c r="M343" s="1" t="s">
        <v>23</v>
      </c>
    </row>
    <row r="344" spans="1:13" x14ac:dyDescent="0.25">
      <c r="A344" s="1" t="s">
        <v>635</v>
      </c>
      <c r="B344" s="1" t="s">
        <v>382</v>
      </c>
      <c r="C344" s="1" t="s">
        <v>636</v>
      </c>
      <c r="D344" s="1" t="s">
        <v>337</v>
      </c>
      <c r="E344" s="1" t="s">
        <v>16</v>
      </c>
      <c r="F344" s="1" t="s">
        <v>595</v>
      </c>
      <c r="G344" s="1" t="s">
        <v>591</v>
      </c>
      <c r="H344" s="1" t="s">
        <v>570</v>
      </c>
      <c r="I344" s="1" t="s">
        <v>637</v>
      </c>
      <c r="J344" s="1" t="s">
        <v>577</v>
      </c>
      <c r="K344" s="1" t="s">
        <v>573</v>
      </c>
      <c r="L344" s="5">
        <v>25000</v>
      </c>
      <c r="M344" s="1" t="s">
        <v>318</v>
      </c>
    </row>
    <row r="345" spans="1:13" x14ac:dyDescent="0.25">
      <c r="A345" s="1" t="s">
        <v>466</v>
      </c>
      <c r="B345" s="1" t="s">
        <v>325</v>
      </c>
      <c r="C345" s="1" t="s">
        <v>1857</v>
      </c>
      <c r="D345" s="1" t="s">
        <v>337</v>
      </c>
      <c r="E345" s="1" t="s">
        <v>16</v>
      </c>
      <c r="F345" s="1" t="s">
        <v>348</v>
      </c>
      <c r="G345" s="1" t="s">
        <v>569</v>
      </c>
      <c r="H345" s="1" t="s">
        <v>570</v>
      </c>
      <c r="I345" s="1" t="s">
        <v>1533</v>
      </c>
      <c r="J345" s="1" t="s">
        <v>315</v>
      </c>
      <c r="K345" s="1" t="s">
        <v>615</v>
      </c>
      <c r="L345" s="5">
        <v>200000</v>
      </c>
      <c r="M345" s="1" t="s">
        <v>340</v>
      </c>
    </row>
    <row r="346" spans="1:13" x14ac:dyDescent="0.25">
      <c r="A346" s="1" t="s">
        <v>85</v>
      </c>
      <c r="B346" s="1" t="s">
        <v>330</v>
      </c>
      <c r="C346" s="1" t="s">
        <v>1715</v>
      </c>
      <c r="D346" s="1" t="s">
        <v>337</v>
      </c>
      <c r="E346" s="1" t="s">
        <v>16</v>
      </c>
      <c r="F346" s="1" t="s">
        <v>1436</v>
      </c>
      <c r="G346" s="1" t="s">
        <v>791</v>
      </c>
      <c r="H346" s="1" t="s">
        <v>570</v>
      </c>
      <c r="I346" s="1" t="s">
        <v>597</v>
      </c>
      <c r="J346" s="1" t="s">
        <v>1672</v>
      </c>
      <c r="K346" s="1" t="s">
        <v>1122</v>
      </c>
      <c r="L346" s="5">
        <v>450000</v>
      </c>
      <c r="M346" s="1" t="s">
        <v>361</v>
      </c>
    </row>
    <row r="347" spans="1:13" x14ac:dyDescent="0.25">
      <c r="A347" s="1" t="s">
        <v>1135</v>
      </c>
      <c r="B347" s="1" t="s">
        <v>0</v>
      </c>
      <c r="C347" s="1" t="s">
        <v>1151</v>
      </c>
      <c r="D347" s="1" t="s">
        <v>337</v>
      </c>
      <c r="E347" s="1" t="s">
        <v>16</v>
      </c>
      <c r="F347" s="1" t="s">
        <v>344</v>
      </c>
      <c r="G347" s="1" t="s">
        <v>575</v>
      </c>
      <c r="H347" s="1" t="s">
        <v>570</v>
      </c>
      <c r="I347" s="1" t="s">
        <v>592</v>
      </c>
      <c r="J347" s="1" t="s">
        <v>334</v>
      </c>
      <c r="K347" s="1" t="s">
        <v>615</v>
      </c>
      <c r="L347" s="5">
        <v>100000</v>
      </c>
      <c r="M347" s="1" t="s">
        <v>344</v>
      </c>
    </row>
    <row r="348" spans="1:13" x14ac:dyDescent="0.25">
      <c r="A348" s="1" t="s">
        <v>293</v>
      </c>
      <c r="B348" s="1" t="s">
        <v>324</v>
      </c>
      <c r="C348" s="1" t="s">
        <v>1834</v>
      </c>
      <c r="D348" s="1" t="s">
        <v>460</v>
      </c>
      <c r="E348" s="1" t="s">
        <v>16</v>
      </c>
      <c r="F348" s="1" t="s">
        <v>319</v>
      </c>
      <c r="G348" s="1" t="s">
        <v>884</v>
      </c>
      <c r="H348" s="1" t="s">
        <v>570</v>
      </c>
      <c r="I348" s="1" t="s">
        <v>618</v>
      </c>
      <c r="J348" s="1" t="s">
        <v>582</v>
      </c>
      <c r="K348" s="1" t="s">
        <v>578</v>
      </c>
      <c r="L348" s="5">
        <v>400000</v>
      </c>
      <c r="M348" s="1" t="s">
        <v>340</v>
      </c>
    </row>
    <row r="349" spans="1:13" x14ac:dyDescent="0.25">
      <c r="A349" s="1" t="s">
        <v>293</v>
      </c>
      <c r="B349" s="1" t="s">
        <v>324</v>
      </c>
      <c r="C349" s="1" t="s">
        <v>1834</v>
      </c>
      <c r="D349" s="1" t="s">
        <v>460</v>
      </c>
      <c r="E349" s="1" t="s">
        <v>16</v>
      </c>
      <c r="F349" s="1" t="s">
        <v>319</v>
      </c>
      <c r="G349" s="1" t="s">
        <v>884</v>
      </c>
      <c r="H349" s="1" t="s">
        <v>570</v>
      </c>
      <c r="I349" s="1" t="s">
        <v>1920</v>
      </c>
      <c r="J349" s="1" t="s">
        <v>340</v>
      </c>
      <c r="K349" s="1" t="s">
        <v>578</v>
      </c>
      <c r="L349" s="5">
        <v>400000</v>
      </c>
      <c r="M349" s="1" t="s">
        <v>319</v>
      </c>
    </row>
    <row r="350" spans="1:13" x14ac:dyDescent="0.25">
      <c r="A350" s="1" t="s">
        <v>257</v>
      </c>
      <c r="B350" s="1" t="s">
        <v>376</v>
      </c>
      <c r="C350" s="1" t="s">
        <v>2154</v>
      </c>
      <c r="D350" s="1" t="s">
        <v>337</v>
      </c>
      <c r="E350" s="1" t="s">
        <v>16</v>
      </c>
      <c r="F350" s="1" t="s">
        <v>383</v>
      </c>
      <c r="G350" s="1" t="s">
        <v>660</v>
      </c>
      <c r="H350" s="1" t="s">
        <v>570</v>
      </c>
      <c r="I350" s="1" t="s">
        <v>2155</v>
      </c>
      <c r="J350" s="1" t="s">
        <v>2144</v>
      </c>
      <c r="K350" s="1" t="s">
        <v>578</v>
      </c>
      <c r="L350" s="5">
        <v>600000</v>
      </c>
      <c r="M350" s="1" t="s">
        <v>383</v>
      </c>
    </row>
    <row r="351" spans="1:13" x14ac:dyDescent="0.25">
      <c r="A351" s="1" t="s">
        <v>1870</v>
      </c>
      <c r="B351" s="1" t="s">
        <v>331</v>
      </c>
      <c r="C351" s="1" t="s">
        <v>1906</v>
      </c>
      <c r="D351" s="1" t="s">
        <v>337</v>
      </c>
      <c r="E351" s="1" t="s">
        <v>16</v>
      </c>
      <c r="F351" s="1" t="s">
        <v>319</v>
      </c>
      <c r="G351" s="1" t="s">
        <v>709</v>
      </c>
      <c r="H351" s="1" t="s">
        <v>16</v>
      </c>
      <c r="I351" s="1" t="s">
        <v>1907</v>
      </c>
      <c r="J351" s="1" t="s">
        <v>1904</v>
      </c>
      <c r="K351" s="1" t="s">
        <v>658</v>
      </c>
      <c r="L351" s="5">
        <v>25000</v>
      </c>
      <c r="M351" s="1" t="s">
        <v>319</v>
      </c>
    </row>
    <row r="352" spans="1:13" x14ac:dyDescent="0.25">
      <c r="A352" s="1" t="s">
        <v>246</v>
      </c>
      <c r="B352" s="1" t="s">
        <v>359</v>
      </c>
      <c r="C352" s="1" t="s">
        <v>1634</v>
      </c>
      <c r="D352" s="1" t="s">
        <v>337</v>
      </c>
      <c r="E352" s="1" t="s">
        <v>16</v>
      </c>
      <c r="F352" s="1" t="s">
        <v>349</v>
      </c>
      <c r="G352" s="1" t="s">
        <v>656</v>
      </c>
      <c r="H352" s="1" t="s">
        <v>586</v>
      </c>
      <c r="I352" s="1" t="s">
        <v>961</v>
      </c>
      <c r="J352" s="1" t="s">
        <v>577</v>
      </c>
      <c r="K352" s="1" t="s">
        <v>615</v>
      </c>
      <c r="L352" s="5">
        <v>300000</v>
      </c>
      <c r="M352" s="1" t="s">
        <v>349</v>
      </c>
    </row>
    <row r="353" spans="1:13" x14ac:dyDescent="0.25">
      <c r="A353" s="1" t="s">
        <v>224</v>
      </c>
      <c r="B353" s="1" t="s">
        <v>382</v>
      </c>
      <c r="C353" s="1" t="s">
        <v>1475</v>
      </c>
      <c r="D353" s="1" t="s">
        <v>337</v>
      </c>
      <c r="E353" s="1" t="s">
        <v>16</v>
      </c>
      <c r="F353" s="1" t="s">
        <v>345</v>
      </c>
      <c r="G353" s="1" t="s">
        <v>722</v>
      </c>
      <c r="H353" s="1" t="s">
        <v>570</v>
      </c>
      <c r="I353" s="1" t="s">
        <v>1967</v>
      </c>
      <c r="J353" s="1" t="s">
        <v>1968</v>
      </c>
      <c r="K353" s="1" t="s">
        <v>578</v>
      </c>
      <c r="L353" s="5">
        <v>150000</v>
      </c>
      <c r="M353" s="1" t="s">
        <v>345</v>
      </c>
    </row>
    <row r="354" spans="1:13" x14ac:dyDescent="0.25">
      <c r="A354" s="1" t="s">
        <v>509</v>
      </c>
      <c r="B354" s="1" t="s">
        <v>328</v>
      </c>
      <c r="C354" s="1" t="s">
        <v>1931</v>
      </c>
      <c r="D354" s="1" t="s">
        <v>337</v>
      </c>
      <c r="E354" s="1" t="s">
        <v>16</v>
      </c>
      <c r="F354" s="1" t="s">
        <v>841</v>
      </c>
      <c r="G354" s="1" t="s">
        <v>709</v>
      </c>
      <c r="H354" s="1" t="s">
        <v>570</v>
      </c>
      <c r="I354" s="1" t="s">
        <v>653</v>
      </c>
      <c r="J354" s="1" t="s">
        <v>361</v>
      </c>
      <c r="K354" s="1" t="s">
        <v>615</v>
      </c>
      <c r="L354" s="5">
        <v>200000</v>
      </c>
      <c r="M354" s="1" t="s">
        <v>319</v>
      </c>
    </row>
    <row r="355" spans="1:13" x14ac:dyDescent="0.25">
      <c r="A355" s="1" t="s">
        <v>415</v>
      </c>
      <c r="B355" s="1" t="s">
        <v>382</v>
      </c>
      <c r="C355" s="1" t="s">
        <v>986</v>
      </c>
      <c r="D355" s="1" t="s">
        <v>394</v>
      </c>
      <c r="E355" s="1" t="s">
        <v>16</v>
      </c>
      <c r="F355" s="1" t="s">
        <v>341</v>
      </c>
      <c r="G355" s="1" t="s">
        <v>722</v>
      </c>
      <c r="H355" s="1" t="s">
        <v>570</v>
      </c>
      <c r="I355" s="1" t="s">
        <v>597</v>
      </c>
      <c r="J355" s="1" t="s">
        <v>987</v>
      </c>
      <c r="K355" s="1" t="s">
        <v>573</v>
      </c>
      <c r="L355" s="5">
        <v>1800000</v>
      </c>
      <c r="M355" s="1" t="s">
        <v>341</v>
      </c>
    </row>
    <row r="356" spans="1:13" x14ac:dyDescent="0.25">
      <c r="A356" s="1" t="s">
        <v>110</v>
      </c>
      <c r="B356" s="1" t="s">
        <v>331</v>
      </c>
      <c r="C356" s="1" t="s">
        <v>1089</v>
      </c>
      <c r="D356" s="1" t="s">
        <v>343</v>
      </c>
      <c r="E356" s="1" t="s">
        <v>16</v>
      </c>
      <c r="F356" s="1" t="s">
        <v>338</v>
      </c>
      <c r="G356" s="1" t="s">
        <v>627</v>
      </c>
      <c r="H356" s="1" t="s">
        <v>570</v>
      </c>
      <c r="I356" s="1" t="s">
        <v>592</v>
      </c>
      <c r="J356" s="1" t="s">
        <v>1090</v>
      </c>
      <c r="K356" s="1" t="s">
        <v>573</v>
      </c>
      <c r="L356" s="5">
        <v>400000</v>
      </c>
      <c r="M356" s="1" t="s">
        <v>338</v>
      </c>
    </row>
    <row r="357" spans="1:13" x14ac:dyDescent="0.25">
      <c r="A357" s="1" t="s">
        <v>272</v>
      </c>
      <c r="B357" s="1" t="s">
        <v>328</v>
      </c>
      <c r="C357" s="1" t="s">
        <v>1283</v>
      </c>
      <c r="D357" s="1" t="s">
        <v>350</v>
      </c>
      <c r="E357" s="1" t="s">
        <v>16</v>
      </c>
      <c r="F357" s="1" t="s">
        <v>339</v>
      </c>
      <c r="G357" s="1" t="s">
        <v>675</v>
      </c>
      <c r="H357" s="1" t="s">
        <v>570</v>
      </c>
      <c r="I357" s="1" t="s">
        <v>618</v>
      </c>
      <c r="J357" s="1" t="s">
        <v>1024</v>
      </c>
      <c r="K357" s="1" t="s">
        <v>615</v>
      </c>
      <c r="L357" s="5">
        <v>750000</v>
      </c>
      <c r="M357" s="1" t="s">
        <v>339</v>
      </c>
    </row>
    <row r="358" spans="1:13" x14ac:dyDescent="0.25">
      <c r="A358" s="1" t="s">
        <v>103</v>
      </c>
      <c r="B358" s="1" t="s">
        <v>326</v>
      </c>
      <c r="C358" s="1" t="s">
        <v>807</v>
      </c>
      <c r="D358" s="1" t="s">
        <v>531</v>
      </c>
      <c r="E358" s="1" t="s">
        <v>16</v>
      </c>
      <c r="F358" s="1" t="s">
        <v>334</v>
      </c>
      <c r="G358" s="1" t="s">
        <v>646</v>
      </c>
      <c r="H358" s="1" t="s">
        <v>570</v>
      </c>
      <c r="I358" s="1" t="s">
        <v>808</v>
      </c>
      <c r="J358" s="1" t="s">
        <v>857</v>
      </c>
      <c r="K358" s="1" t="s">
        <v>736</v>
      </c>
      <c r="L358" s="5">
        <v>900000</v>
      </c>
      <c r="M358" s="1" t="s">
        <v>334</v>
      </c>
    </row>
    <row r="359" spans="1:13" x14ac:dyDescent="0.25">
      <c r="A359" s="1" t="s">
        <v>151</v>
      </c>
      <c r="B359" s="1" t="s">
        <v>326</v>
      </c>
      <c r="C359" s="1" t="s">
        <v>1191</v>
      </c>
      <c r="D359" s="1" t="s">
        <v>401</v>
      </c>
      <c r="E359" s="1" t="s">
        <v>16</v>
      </c>
      <c r="F359" s="1" t="s">
        <v>1192</v>
      </c>
      <c r="G359" s="1" t="s">
        <v>709</v>
      </c>
      <c r="H359" s="1" t="s">
        <v>570</v>
      </c>
      <c r="I359" s="1" t="s">
        <v>1193</v>
      </c>
      <c r="J359" s="1" t="s">
        <v>831</v>
      </c>
      <c r="K359" s="1" t="s">
        <v>16</v>
      </c>
      <c r="L359" s="5">
        <v>400000</v>
      </c>
      <c r="M359" s="1" t="s">
        <v>344</v>
      </c>
    </row>
    <row r="360" spans="1:13" x14ac:dyDescent="0.25">
      <c r="A360" s="1" t="s">
        <v>2218</v>
      </c>
      <c r="B360" s="1" t="s">
        <v>382</v>
      </c>
      <c r="C360" s="1" t="s">
        <v>2219</v>
      </c>
      <c r="D360" s="1" t="s">
        <v>337</v>
      </c>
      <c r="E360" s="1" t="s">
        <v>16</v>
      </c>
      <c r="F360" s="1" t="s">
        <v>317</v>
      </c>
      <c r="G360" s="1" t="s">
        <v>675</v>
      </c>
      <c r="H360" s="1" t="s">
        <v>605</v>
      </c>
      <c r="I360" s="1" t="s">
        <v>770</v>
      </c>
      <c r="J360" s="1" t="s">
        <v>985</v>
      </c>
      <c r="K360" s="1" t="s">
        <v>573</v>
      </c>
      <c r="L360" s="5">
        <v>350000</v>
      </c>
      <c r="M360" s="1" t="s">
        <v>348</v>
      </c>
    </row>
    <row r="361" spans="1:13" x14ac:dyDescent="0.25">
      <c r="A361" s="1" t="s">
        <v>2043</v>
      </c>
      <c r="B361" s="1" t="s">
        <v>0</v>
      </c>
      <c r="C361" s="1" t="s">
        <v>2044</v>
      </c>
      <c r="D361" s="1" t="s">
        <v>337</v>
      </c>
      <c r="E361" s="1" t="s">
        <v>16</v>
      </c>
      <c r="F361" s="1" t="s">
        <v>316</v>
      </c>
      <c r="G361" s="1" t="s">
        <v>627</v>
      </c>
      <c r="H361" s="1" t="s">
        <v>16</v>
      </c>
      <c r="I361" s="1" t="s">
        <v>2045</v>
      </c>
      <c r="J361" s="1" t="s">
        <v>2046</v>
      </c>
      <c r="K361" s="1" t="s">
        <v>578</v>
      </c>
      <c r="L361" s="5" t="s">
        <v>16</v>
      </c>
      <c r="M361" s="1" t="s">
        <v>316</v>
      </c>
    </row>
    <row r="362" spans="1:13" x14ac:dyDescent="0.25">
      <c r="A362" s="1" t="s">
        <v>1477</v>
      </c>
      <c r="B362" s="1" t="s">
        <v>382</v>
      </c>
      <c r="C362" s="1" t="s">
        <v>1522</v>
      </c>
      <c r="D362" s="1" t="s">
        <v>337</v>
      </c>
      <c r="E362" s="1" t="s">
        <v>16</v>
      </c>
      <c r="F362" s="1" t="s">
        <v>23</v>
      </c>
      <c r="G362" s="1" t="s">
        <v>617</v>
      </c>
      <c r="H362" s="1" t="s">
        <v>16</v>
      </c>
      <c r="I362" s="1" t="s">
        <v>1492</v>
      </c>
      <c r="J362" s="1" t="s">
        <v>1302</v>
      </c>
      <c r="K362" s="1" t="s">
        <v>615</v>
      </c>
      <c r="L362" s="5">
        <v>50000</v>
      </c>
      <c r="M362" s="1" t="s">
        <v>23</v>
      </c>
    </row>
    <row r="363" spans="1:13" x14ac:dyDescent="0.25">
      <c r="A363" s="1" t="s">
        <v>207</v>
      </c>
      <c r="B363" s="1" t="s">
        <v>359</v>
      </c>
      <c r="C363" s="1" t="s">
        <v>1914</v>
      </c>
      <c r="D363" s="1" t="s">
        <v>337</v>
      </c>
      <c r="E363" s="1" t="s">
        <v>16</v>
      </c>
      <c r="F363" s="1" t="s">
        <v>319</v>
      </c>
      <c r="G363" s="1" t="s">
        <v>633</v>
      </c>
      <c r="H363" s="1" t="s">
        <v>586</v>
      </c>
      <c r="I363" s="1" t="s">
        <v>1915</v>
      </c>
      <c r="J363" s="1" t="s">
        <v>1916</v>
      </c>
      <c r="K363" s="1" t="s">
        <v>573</v>
      </c>
      <c r="L363" s="5">
        <v>450000</v>
      </c>
      <c r="M363" s="1" t="s">
        <v>319</v>
      </c>
    </row>
    <row r="364" spans="1:13" x14ac:dyDescent="0.25">
      <c r="A364" s="1" t="s">
        <v>94</v>
      </c>
      <c r="B364" s="1" t="s">
        <v>357</v>
      </c>
      <c r="C364" s="1" t="s">
        <v>771</v>
      </c>
      <c r="D364" s="1" t="s">
        <v>337</v>
      </c>
      <c r="E364" s="1" t="s">
        <v>16</v>
      </c>
      <c r="F364" s="1" t="s">
        <v>701</v>
      </c>
      <c r="G364" s="1" t="s">
        <v>684</v>
      </c>
      <c r="H364" s="1" t="s">
        <v>586</v>
      </c>
      <c r="I364" s="1" t="s">
        <v>772</v>
      </c>
      <c r="J364" s="1" t="s">
        <v>829</v>
      </c>
      <c r="K364" s="1" t="s">
        <v>573</v>
      </c>
      <c r="L364" s="5">
        <v>200000</v>
      </c>
      <c r="M364" s="1" t="s">
        <v>334</v>
      </c>
    </row>
    <row r="365" spans="1:13" x14ac:dyDescent="0.25">
      <c r="A365" s="1" t="s">
        <v>2151</v>
      </c>
      <c r="B365" s="1" t="s">
        <v>357</v>
      </c>
      <c r="C365" s="1" t="s">
        <v>2152</v>
      </c>
      <c r="D365" s="1" t="s">
        <v>337</v>
      </c>
      <c r="E365" s="1" t="s">
        <v>16</v>
      </c>
      <c r="F365" s="1" t="s">
        <v>739</v>
      </c>
      <c r="G365" s="1" t="s">
        <v>612</v>
      </c>
      <c r="H365" s="1" t="s">
        <v>586</v>
      </c>
      <c r="I365" s="1" t="s">
        <v>2153</v>
      </c>
      <c r="J365" s="1" t="s">
        <v>964</v>
      </c>
      <c r="K365" s="1" t="s">
        <v>615</v>
      </c>
      <c r="L365" s="5">
        <v>125000</v>
      </c>
      <c r="M365" s="1" t="s">
        <v>383</v>
      </c>
    </row>
    <row r="366" spans="1:13" x14ac:dyDescent="0.25">
      <c r="A366" s="1" t="s">
        <v>747</v>
      </c>
      <c r="B366" s="1" t="s">
        <v>0</v>
      </c>
      <c r="C366" s="1" t="s">
        <v>748</v>
      </c>
      <c r="D366" s="1" t="s">
        <v>337</v>
      </c>
      <c r="E366" s="1" t="s">
        <v>16</v>
      </c>
      <c r="F366" s="1" t="s">
        <v>739</v>
      </c>
      <c r="G366" s="1" t="s">
        <v>580</v>
      </c>
      <c r="H366" s="1" t="s">
        <v>605</v>
      </c>
      <c r="I366" s="1" t="s">
        <v>749</v>
      </c>
      <c r="J366" s="1" t="s">
        <v>830</v>
      </c>
      <c r="K366" s="1" t="s">
        <v>615</v>
      </c>
      <c r="L366" s="5">
        <v>200000</v>
      </c>
      <c r="M366" s="1" t="s">
        <v>334</v>
      </c>
    </row>
    <row r="367" spans="1:13" x14ac:dyDescent="0.25">
      <c r="A367" s="1" t="s">
        <v>1216</v>
      </c>
      <c r="B367" s="1" t="s">
        <v>0</v>
      </c>
      <c r="C367" s="1" t="s">
        <v>1217</v>
      </c>
      <c r="D367" s="1" t="s">
        <v>337</v>
      </c>
      <c r="E367" s="1" t="s">
        <v>16</v>
      </c>
      <c r="F367" s="1" t="s">
        <v>339</v>
      </c>
      <c r="G367" s="1" t="s">
        <v>585</v>
      </c>
      <c r="H367" s="1" t="s">
        <v>570</v>
      </c>
      <c r="I367" s="1" t="s">
        <v>797</v>
      </c>
      <c r="J367" s="1" t="s">
        <v>1218</v>
      </c>
      <c r="K367" s="1" t="s">
        <v>615</v>
      </c>
      <c r="L367" s="5">
        <v>550000</v>
      </c>
      <c r="M367" s="1" t="s">
        <v>339</v>
      </c>
    </row>
    <row r="368" spans="1:13" x14ac:dyDescent="0.25">
      <c r="A368" s="1" t="s">
        <v>65</v>
      </c>
      <c r="B368" s="1" t="s">
        <v>330</v>
      </c>
      <c r="C368" s="1" t="s">
        <v>1410</v>
      </c>
      <c r="D368" s="1" t="s">
        <v>337</v>
      </c>
      <c r="E368" s="1" t="s">
        <v>16</v>
      </c>
      <c r="F368" s="1" t="s">
        <v>1411</v>
      </c>
      <c r="G368" s="1" t="s">
        <v>591</v>
      </c>
      <c r="H368" s="1" t="s">
        <v>605</v>
      </c>
      <c r="I368" s="1" t="s">
        <v>1412</v>
      </c>
      <c r="J368" s="1" t="s">
        <v>1378</v>
      </c>
      <c r="K368" s="1" t="s">
        <v>588</v>
      </c>
      <c r="L368" s="5">
        <v>2000000</v>
      </c>
      <c r="M368" s="1" t="s">
        <v>317</v>
      </c>
    </row>
    <row r="369" spans="1:13" x14ac:dyDescent="0.25">
      <c r="A369" s="1" t="s">
        <v>476</v>
      </c>
      <c r="B369" s="1" t="s">
        <v>330</v>
      </c>
      <c r="C369" s="1" t="s">
        <v>1995</v>
      </c>
      <c r="D369" s="1" t="s">
        <v>337</v>
      </c>
      <c r="E369" s="1" t="s">
        <v>16</v>
      </c>
      <c r="F369" s="1" t="s">
        <v>724</v>
      </c>
      <c r="G369" s="1" t="s">
        <v>612</v>
      </c>
      <c r="H369" s="1" t="s">
        <v>570</v>
      </c>
      <c r="I369" s="1" t="s">
        <v>1996</v>
      </c>
      <c r="J369" s="1" t="s">
        <v>318</v>
      </c>
      <c r="K369" s="1" t="s">
        <v>16</v>
      </c>
      <c r="L369" s="5" t="s">
        <v>16</v>
      </c>
      <c r="M369" s="1" t="s">
        <v>345</v>
      </c>
    </row>
    <row r="370" spans="1:13" x14ac:dyDescent="0.25">
      <c r="A370" s="1" t="s">
        <v>1730</v>
      </c>
      <c r="B370" s="1" t="s">
        <v>324</v>
      </c>
      <c r="C370" s="1" t="s">
        <v>1731</v>
      </c>
      <c r="D370" s="1" t="s">
        <v>337</v>
      </c>
      <c r="E370" s="1" t="s">
        <v>16</v>
      </c>
      <c r="F370" s="1" t="s">
        <v>701</v>
      </c>
      <c r="G370" s="1" t="s">
        <v>769</v>
      </c>
      <c r="H370" s="1" t="s">
        <v>570</v>
      </c>
      <c r="I370" s="1" t="s">
        <v>1732</v>
      </c>
      <c r="J370" s="1" t="s">
        <v>1672</v>
      </c>
      <c r="K370" s="1" t="s">
        <v>573</v>
      </c>
      <c r="L370" s="5">
        <v>150000</v>
      </c>
      <c r="M370" s="1" t="s">
        <v>361</v>
      </c>
    </row>
    <row r="371" spans="1:13" x14ac:dyDescent="0.25">
      <c r="A371" s="1" t="s">
        <v>1398</v>
      </c>
      <c r="B371" s="1" t="s">
        <v>382</v>
      </c>
      <c r="C371" s="1" t="s">
        <v>1399</v>
      </c>
      <c r="D371" s="1" t="s">
        <v>337</v>
      </c>
      <c r="E371" s="1" t="s">
        <v>16</v>
      </c>
      <c r="F371" s="1" t="s">
        <v>632</v>
      </c>
      <c r="G371" s="1" t="s">
        <v>585</v>
      </c>
      <c r="H371" s="1" t="s">
        <v>16</v>
      </c>
      <c r="I371" s="1" t="s">
        <v>1400</v>
      </c>
      <c r="J371" s="1" t="s">
        <v>1378</v>
      </c>
      <c r="K371" s="1" t="s">
        <v>573</v>
      </c>
      <c r="L371" s="5">
        <v>25000</v>
      </c>
      <c r="M371" s="1" t="s">
        <v>317</v>
      </c>
    </row>
    <row r="372" spans="1:13" x14ac:dyDescent="0.25">
      <c r="A372" s="1" t="s">
        <v>50</v>
      </c>
      <c r="B372" s="1" t="s">
        <v>382</v>
      </c>
      <c r="C372" s="1" t="s">
        <v>2226</v>
      </c>
      <c r="D372" s="1" t="s">
        <v>370</v>
      </c>
      <c r="E372" s="1" t="s">
        <v>337</v>
      </c>
      <c r="F372" s="1" t="s">
        <v>319</v>
      </c>
      <c r="G372" s="1" t="s">
        <v>660</v>
      </c>
      <c r="H372" s="1" t="s">
        <v>586</v>
      </c>
      <c r="I372" s="1" t="s">
        <v>719</v>
      </c>
      <c r="J372" s="1" t="s">
        <v>319</v>
      </c>
      <c r="K372" s="1" t="s">
        <v>573</v>
      </c>
      <c r="L372" s="5">
        <v>25000</v>
      </c>
      <c r="M372" s="1" t="s">
        <v>348</v>
      </c>
    </row>
    <row r="373" spans="1:13" x14ac:dyDescent="0.25">
      <c r="A373" s="1" t="s">
        <v>379</v>
      </c>
      <c r="B373" s="1" t="s">
        <v>328</v>
      </c>
      <c r="C373" s="1" t="s">
        <v>1361</v>
      </c>
      <c r="D373" s="1" t="s">
        <v>370</v>
      </c>
      <c r="E373" s="1" t="s">
        <v>337</v>
      </c>
      <c r="F373" s="1" t="s">
        <v>315</v>
      </c>
      <c r="G373" s="1" t="s">
        <v>612</v>
      </c>
      <c r="H373" s="1" t="s">
        <v>586</v>
      </c>
      <c r="I373" s="1" t="s">
        <v>1362</v>
      </c>
      <c r="J373" s="1" t="s">
        <v>1363</v>
      </c>
      <c r="K373" s="1" t="s">
        <v>651</v>
      </c>
      <c r="L373" s="5">
        <v>300000</v>
      </c>
      <c r="M373" s="1" t="s">
        <v>315</v>
      </c>
    </row>
    <row r="374" spans="1:13" x14ac:dyDescent="0.25">
      <c r="A374" s="1" t="s">
        <v>131</v>
      </c>
      <c r="B374" s="1" t="s">
        <v>382</v>
      </c>
      <c r="C374" s="1" t="s">
        <v>620</v>
      </c>
      <c r="D374" s="1" t="s">
        <v>556</v>
      </c>
      <c r="E374" s="1" t="s">
        <v>480</v>
      </c>
      <c r="F374" s="1" t="s">
        <v>318</v>
      </c>
      <c r="G374" s="1" t="s">
        <v>617</v>
      </c>
      <c r="H374" s="1" t="s">
        <v>570</v>
      </c>
      <c r="I374" s="1" t="s">
        <v>618</v>
      </c>
      <c r="J374" s="1" t="s">
        <v>621</v>
      </c>
      <c r="K374" s="1" t="s">
        <v>615</v>
      </c>
      <c r="L374" s="5">
        <v>300000</v>
      </c>
      <c r="M374" s="1" t="s">
        <v>318</v>
      </c>
    </row>
    <row r="375" spans="1:13" x14ac:dyDescent="0.25">
      <c r="A375" s="1" t="s">
        <v>134</v>
      </c>
      <c r="B375" s="1" t="s">
        <v>328</v>
      </c>
      <c r="C375" s="1" t="s">
        <v>710</v>
      </c>
      <c r="D375" s="1" t="s">
        <v>453</v>
      </c>
      <c r="E375" s="1" t="s">
        <v>400</v>
      </c>
      <c r="F375" s="1" t="s">
        <v>711</v>
      </c>
      <c r="G375" s="1" t="s">
        <v>678</v>
      </c>
      <c r="H375" s="1" t="s">
        <v>570</v>
      </c>
      <c r="I375" s="1" t="s">
        <v>653</v>
      </c>
      <c r="J375" s="1" t="s">
        <v>712</v>
      </c>
      <c r="K375" s="1" t="s">
        <v>578</v>
      </c>
      <c r="L375" s="5">
        <v>550000</v>
      </c>
      <c r="M375" s="1" t="s">
        <v>318</v>
      </c>
    </row>
    <row r="376" spans="1:13" x14ac:dyDescent="0.25">
      <c r="A376" s="1" t="s">
        <v>493</v>
      </c>
      <c r="B376" s="1" t="s">
        <v>382</v>
      </c>
      <c r="C376" s="1" t="s">
        <v>1785</v>
      </c>
      <c r="D376" s="1" t="s">
        <v>364</v>
      </c>
      <c r="E376" s="1" t="s">
        <v>16</v>
      </c>
      <c r="F376" s="1" t="s">
        <v>1786</v>
      </c>
      <c r="G376" s="1" t="s">
        <v>596</v>
      </c>
      <c r="H376" s="1" t="s">
        <v>570</v>
      </c>
      <c r="I376" s="1" t="s">
        <v>1323</v>
      </c>
      <c r="J376" s="1" t="s">
        <v>1787</v>
      </c>
      <c r="K376" s="1" t="s">
        <v>615</v>
      </c>
      <c r="L376" s="5">
        <v>600000</v>
      </c>
      <c r="M376" s="1" t="s">
        <v>340</v>
      </c>
    </row>
    <row r="377" spans="1:13" x14ac:dyDescent="0.25">
      <c r="A377" s="1" t="s">
        <v>546</v>
      </c>
      <c r="B377" s="1" t="s">
        <v>352</v>
      </c>
      <c r="C377" s="1" t="s">
        <v>2002</v>
      </c>
      <c r="D377" s="1" t="s">
        <v>552</v>
      </c>
      <c r="E377" s="1" t="s">
        <v>16</v>
      </c>
      <c r="F377" s="1" t="s">
        <v>2003</v>
      </c>
      <c r="G377" s="1" t="s">
        <v>767</v>
      </c>
      <c r="H377" s="1" t="s">
        <v>605</v>
      </c>
      <c r="I377" s="1" t="s">
        <v>1996</v>
      </c>
      <c r="J377" s="1" t="s">
        <v>2004</v>
      </c>
      <c r="K377" s="1" t="s">
        <v>615</v>
      </c>
      <c r="L377" s="5">
        <v>300000</v>
      </c>
      <c r="M377" s="1" t="s">
        <v>345</v>
      </c>
    </row>
    <row r="378" spans="1:13" x14ac:dyDescent="0.25">
      <c r="A378" s="1" t="s">
        <v>98</v>
      </c>
      <c r="B378" s="1" t="s">
        <v>382</v>
      </c>
      <c r="C378" s="1" t="s">
        <v>751</v>
      </c>
      <c r="D378" s="1" t="s">
        <v>350</v>
      </c>
      <c r="E378" s="1" t="s">
        <v>16</v>
      </c>
      <c r="F378" s="1" t="s">
        <v>334</v>
      </c>
      <c r="G378" s="1" t="s">
        <v>633</v>
      </c>
      <c r="H378" s="1" t="s">
        <v>570</v>
      </c>
      <c r="I378" s="1" t="s">
        <v>752</v>
      </c>
      <c r="J378" s="1" t="s">
        <v>831</v>
      </c>
      <c r="K378" s="1" t="s">
        <v>573</v>
      </c>
      <c r="L378" s="5">
        <v>2500000</v>
      </c>
      <c r="M378" s="1" t="s">
        <v>334</v>
      </c>
    </row>
    <row r="379" spans="1:13" x14ac:dyDescent="0.25">
      <c r="A379" s="1" t="s">
        <v>402</v>
      </c>
      <c r="B379" s="1" t="s">
        <v>324</v>
      </c>
      <c r="C379" s="1" t="s">
        <v>2174</v>
      </c>
      <c r="D379" s="1" t="s">
        <v>333</v>
      </c>
      <c r="E379" s="1" t="s">
        <v>16</v>
      </c>
      <c r="F379" s="1" t="s">
        <v>383</v>
      </c>
      <c r="G379" s="1" t="s">
        <v>612</v>
      </c>
      <c r="H379" s="1" t="s">
        <v>570</v>
      </c>
      <c r="I379" s="1" t="s">
        <v>1788</v>
      </c>
      <c r="J379" s="1" t="s">
        <v>2175</v>
      </c>
      <c r="K379" s="1" t="s">
        <v>573</v>
      </c>
      <c r="L379" s="5">
        <v>300000</v>
      </c>
      <c r="M379" s="1" t="s">
        <v>383</v>
      </c>
    </row>
    <row r="380" spans="1:13" x14ac:dyDescent="0.25">
      <c r="A380" s="1" t="s">
        <v>406</v>
      </c>
      <c r="B380" s="1" t="s">
        <v>326</v>
      </c>
      <c r="C380" s="1" t="s">
        <v>1354</v>
      </c>
      <c r="D380" s="1" t="s">
        <v>336</v>
      </c>
      <c r="E380" s="1" t="s">
        <v>16</v>
      </c>
      <c r="F380" s="1" t="s">
        <v>315</v>
      </c>
      <c r="G380" s="1" t="s">
        <v>767</v>
      </c>
      <c r="H380" s="1" t="s">
        <v>570</v>
      </c>
      <c r="I380" s="1" t="s">
        <v>618</v>
      </c>
      <c r="J380" s="1" t="s">
        <v>1355</v>
      </c>
      <c r="K380" s="1" t="s">
        <v>615</v>
      </c>
      <c r="L380" s="5">
        <v>400000</v>
      </c>
      <c r="M380" s="1" t="s">
        <v>315</v>
      </c>
    </row>
    <row r="381" spans="1:13" x14ac:dyDescent="0.25">
      <c r="A381" s="1" t="s">
        <v>414</v>
      </c>
      <c r="B381" s="1" t="s">
        <v>357</v>
      </c>
      <c r="C381" s="1" t="s">
        <v>998</v>
      </c>
      <c r="D381" s="1" t="s">
        <v>336</v>
      </c>
      <c r="E381" s="1" t="s">
        <v>16</v>
      </c>
      <c r="F381" s="1" t="s">
        <v>340</v>
      </c>
      <c r="G381" s="1" t="s">
        <v>775</v>
      </c>
      <c r="H381" s="1" t="s">
        <v>586</v>
      </c>
      <c r="I381" s="1" t="s">
        <v>592</v>
      </c>
      <c r="J381" s="1" t="s">
        <v>999</v>
      </c>
      <c r="K381" s="1" t="s">
        <v>578</v>
      </c>
      <c r="L381" s="5">
        <v>1500000</v>
      </c>
      <c r="M381" s="1" t="s">
        <v>341</v>
      </c>
    </row>
    <row r="382" spans="1:13" x14ac:dyDescent="0.25">
      <c r="A382" s="1" t="s">
        <v>526</v>
      </c>
      <c r="B382" s="1" t="s">
        <v>357</v>
      </c>
      <c r="C382" s="1" t="s">
        <v>1531</v>
      </c>
      <c r="D382" s="1" t="s">
        <v>336</v>
      </c>
      <c r="E382" s="1" t="s">
        <v>16</v>
      </c>
      <c r="F382" s="1" t="s">
        <v>1532</v>
      </c>
      <c r="G382" s="1" t="s">
        <v>709</v>
      </c>
      <c r="H382" s="1" t="s">
        <v>586</v>
      </c>
      <c r="I382" s="1" t="s">
        <v>1533</v>
      </c>
      <c r="J382" s="1" t="s">
        <v>318</v>
      </c>
      <c r="K382" s="1" t="s">
        <v>573</v>
      </c>
      <c r="L382" s="5">
        <v>200000</v>
      </c>
      <c r="M382" s="1" t="s">
        <v>23</v>
      </c>
    </row>
    <row r="383" spans="1:13" x14ac:dyDescent="0.25">
      <c r="A383" s="1" t="s">
        <v>1294</v>
      </c>
      <c r="B383" s="1" t="s">
        <v>331</v>
      </c>
      <c r="C383" s="1" t="s">
        <v>1325</v>
      </c>
      <c r="D383" s="1" t="s">
        <v>370</v>
      </c>
      <c r="E383" s="1" t="s">
        <v>16</v>
      </c>
      <c r="F383" s="1" t="s">
        <v>315</v>
      </c>
      <c r="G383" s="1" t="s">
        <v>617</v>
      </c>
      <c r="H383" s="1" t="s">
        <v>570</v>
      </c>
      <c r="I383" s="1" t="s">
        <v>1065</v>
      </c>
      <c r="J383" s="1" t="s">
        <v>1326</v>
      </c>
      <c r="K383" s="1" t="s">
        <v>578</v>
      </c>
      <c r="L383" s="5">
        <v>600000</v>
      </c>
      <c r="M383" s="1" t="s">
        <v>315</v>
      </c>
    </row>
    <row r="384" spans="1:13" x14ac:dyDescent="0.25">
      <c r="A384" s="1" t="s">
        <v>194</v>
      </c>
      <c r="B384" s="1" t="s">
        <v>330</v>
      </c>
      <c r="C384" s="1" t="s">
        <v>932</v>
      </c>
      <c r="D384" s="1" t="s">
        <v>391</v>
      </c>
      <c r="E384" s="1" t="s">
        <v>16</v>
      </c>
      <c r="F384" s="1" t="s">
        <v>933</v>
      </c>
      <c r="G384" s="1" t="s">
        <v>612</v>
      </c>
      <c r="H384" s="1" t="s">
        <v>570</v>
      </c>
      <c r="I384" s="3">
        <v>44646</v>
      </c>
      <c r="J384" s="1" t="s">
        <v>933</v>
      </c>
      <c r="K384" s="1" t="s">
        <v>588</v>
      </c>
      <c r="L384" s="5">
        <v>700000</v>
      </c>
      <c r="M384" s="1" t="s">
        <v>332</v>
      </c>
    </row>
    <row r="385" spans="1:13" x14ac:dyDescent="0.25">
      <c r="A385" s="1" t="s">
        <v>1272</v>
      </c>
      <c r="B385" s="1" t="s">
        <v>326</v>
      </c>
      <c r="C385" s="1" t="s">
        <v>1273</v>
      </c>
      <c r="D385" s="1" t="s">
        <v>342</v>
      </c>
      <c r="E385" s="1" t="s">
        <v>16</v>
      </c>
      <c r="F385" s="1" t="s">
        <v>1274</v>
      </c>
      <c r="G385" s="1" t="s">
        <v>633</v>
      </c>
      <c r="H385" s="1" t="s">
        <v>586</v>
      </c>
      <c r="I385" s="1" t="s">
        <v>1275</v>
      </c>
      <c r="J385" s="1" t="s">
        <v>1276</v>
      </c>
      <c r="K385" s="1" t="s">
        <v>1277</v>
      </c>
      <c r="L385" s="5">
        <v>150000</v>
      </c>
      <c r="M385" s="1" t="s">
        <v>339</v>
      </c>
    </row>
    <row r="386" spans="1:13" x14ac:dyDescent="0.25">
      <c r="A386" s="1" t="s">
        <v>306</v>
      </c>
      <c r="B386" s="1" t="s">
        <v>325</v>
      </c>
      <c r="C386" s="1" t="s">
        <v>1039</v>
      </c>
      <c r="D386" s="1" t="s">
        <v>342</v>
      </c>
      <c r="E386" s="1" t="s">
        <v>336</v>
      </c>
      <c r="F386" s="1" t="s">
        <v>341</v>
      </c>
      <c r="G386" s="1" t="s">
        <v>709</v>
      </c>
      <c r="H386" s="1" t="s">
        <v>570</v>
      </c>
      <c r="I386" s="1" t="s">
        <v>1040</v>
      </c>
      <c r="J386" s="1" t="s">
        <v>1041</v>
      </c>
      <c r="K386" s="1" t="s">
        <v>578</v>
      </c>
      <c r="L386" s="5">
        <v>1500000</v>
      </c>
      <c r="M386" s="1" t="s">
        <v>341</v>
      </c>
    </row>
    <row r="387" spans="1:13" x14ac:dyDescent="0.25">
      <c r="A387" s="1" t="s">
        <v>22</v>
      </c>
      <c r="B387" s="1" t="s">
        <v>0</v>
      </c>
      <c r="C387" s="1" t="s">
        <v>1471</v>
      </c>
      <c r="D387" s="1" t="s">
        <v>350</v>
      </c>
      <c r="E387" s="1" t="s">
        <v>16</v>
      </c>
      <c r="F387" s="1" t="s">
        <v>23</v>
      </c>
      <c r="G387" s="1" t="s">
        <v>596</v>
      </c>
      <c r="H387" s="1" t="s">
        <v>16</v>
      </c>
      <c r="I387" s="1" t="s">
        <v>597</v>
      </c>
      <c r="J387" s="1" t="s">
        <v>841</v>
      </c>
      <c r="K387" s="1" t="s">
        <v>615</v>
      </c>
      <c r="L387" s="5">
        <v>200000</v>
      </c>
      <c r="M387" s="1" t="s">
        <v>23</v>
      </c>
    </row>
    <row r="388" spans="1:13" x14ac:dyDescent="0.25">
      <c r="A388" s="1" t="s">
        <v>72</v>
      </c>
      <c r="B388" s="1" t="s">
        <v>324</v>
      </c>
      <c r="C388" s="1" t="s">
        <v>1433</v>
      </c>
      <c r="D388" s="1" t="s">
        <v>347</v>
      </c>
      <c r="E388" s="1" t="s">
        <v>337</v>
      </c>
      <c r="F388" s="1" t="s">
        <v>317</v>
      </c>
      <c r="G388" s="1" t="s">
        <v>656</v>
      </c>
      <c r="H388" s="1" t="s">
        <v>586</v>
      </c>
      <c r="I388" s="1" t="s">
        <v>1260</v>
      </c>
      <c r="J388" s="1" t="s">
        <v>1434</v>
      </c>
      <c r="K388" s="1" t="s">
        <v>573</v>
      </c>
      <c r="L388" s="5">
        <v>400000</v>
      </c>
      <c r="M388" s="1" t="s">
        <v>317</v>
      </c>
    </row>
    <row r="389" spans="1:13" x14ac:dyDescent="0.25">
      <c r="A389" s="1" t="s">
        <v>1997</v>
      </c>
      <c r="B389" s="1" t="s">
        <v>352</v>
      </c>
      <c r="C389" s="1" t="s">
        <v>1998</v>
      </c>
      <c r="D389" s="1" t="s">
        <v>337</v>
      </c>
      <c r="E389" s="1" t="s">
        <v>16</v>
      </c>
      <c r="F389" s="1" t="s">
        <v>345</v>
      </c>
      <c r="G389" s="1" t="s">
        <v>580</v>
      </c>
      <c r="H389" s="1" t="s">
        <v>570</v>
      </c>
      <c r="I389" s="1" t="s">
        <v>1999</v>
      </c>
      <c r="J389" s="1" t="s">
        <v>2000</v>
      </c>
      <c r="K389" s="1" t="s">
        <v>578</v>
      </c>
      <c r="L389" s="5">
        <v>600000</v>
      </c>
      <c r="M389" s="1" t="s">
        <v>345</v>
      </c>
    </row>
    <row r="390" spans="1:13" x14ac:dyDescent="0.25">
      <c r="A390" s="1" t="s">
        <v>2038</v>
      </c>
      <c r="B390" s="1" t="s">
        <v>0</v>
      </c>
      <c r="C390" s="1" t="s">
        <v>1101</v>
      </c>
      <c r="D390" s="1" t="s">
        <v>337</v>
      </c>
      <c r="E390" s="1" t="s">
        <v>16</v>
      </c>
      <c r="F390" s="1" t="s">
        <v>1472</v>
      </c>
      <c r="G390" s="1" t="s">
        <v>675</v>
      </c>
      <c r="H390" s="1" t="s">
        <v>570</v>
      </c>
      <c r="I390" s="1" t="s">
        <v>597</v>
      </c>
      <c r="J390" s="1" t="s">
        <v>341</v>
      </c>
      <c r="K390" s="1" t="s">
        <v>578</v>
      </c>
      <c r="L390" s="5">
        <v>50000</v>
      </c>
      <c r="M390" s="1" t="s">
        <v>316</v>
      </c>
    </row>
    <row r="391" spans="1:13" x14ac:dyDescent="0.25">
      <c r="A391" s="1" t="s">
        <v>395</v>
      </c>
      <c r="B391" s="1" t="s">
        <v>331</v>
      </c>
      <c r="C391" s="1" t="s">
        <v>1715</v>
      </c>
      <c r="D391" s="1" t="s">
        <v>337</v>
      </c>
      <c r="E391" s="1" t="s">
        <v>16</v>
      </c>
      <c r="F391" s="1" t="s">
        <v>340</v>
      </c>
      <c r="G391" s="1" t="s">
        <v>775</v>
      </c>
      <c r="H391" s="1" t="s">
        <v>570</v>
      </c>
      <c r="I391" s="1" t="s">
        <v>1817</v>
      </c>
      <c r="J391" s="1" t="s">
        <v>577</v>
      </c>
      <c r="K391" s="1" t="s">
        <v>615</v>
      </c>
      <c r="L391" s="5">
        <v>500000</v>
      </c>
      <c r="M391" s="1" t="s">
        <v>340</v>
      </c>
    </row>
    <row r="392" spans="1:13" x14ac:dyDescent="0.25">
      <c r="A392" s="1" t="s">
        <v>410</v>
      </c>
      <c r="B392" s="1" t="s">
        <v>331</v>
      </c>
      <c r="C392" s="1" t="s">
        <v>1789</v>
      </c>
      <c r="D392" s="1" t="s">
        <v>337</v>
      </c>
      <c r="E392" s="1" t="s">
        <v>16</v>
      </c>
      <c r="F392" s="1" t="s">
        <v>1807</v>
      </c>
      <c r="G392" s="1" t="s">
        <v>646</v>
      </c>
      <c r="H392" s="1" t="s">
        <v>570</v>
      </c>
      <c r="I392" s="1" t="s">
        <v>1808</v>
      </c>
      <c r="J392" s="1" t="s">
        <v>1282</v>
      </c>
      <c r="K392" s="1" t="s">
        <v>644</v>
      </c>
      <c r="L392" s="5">
        <v>1800000</v>
      </c>
      <c r="M392" s="1" t="s">
        <v>340</v>
      </c>
    </row>
    <row r="393" spans="1:13" x14ac:dyDescent="0.25">
      <c r="A393" s="1" t="s">
        <v>305</v>
      </c>
      <c r="B393" s="1" t="s">
        <v>325</v>
      </c>
      <c r="C393" s="1" t="s">
        <v>988</v>
      </c>
      <c r="D393" s="1" t="s">
        <v>337</v>
      </c>
      <c r="E393" s="1" t="s">
        <v>16</v>
      </c>
      <c r="F393" s="1" t="s">
        <v>339</v>
      </c>
      <c r="G393" s="1" t="s">
        <v>609</v>
      </c>
      <c r="H393" s="1" t="s">
        <v>570</v>
      </c>
      <c r="I393" s="1" t="s">
        <v>919</v>
      </c>
      <c r="J393" s="1" t="s">
        <v>853</v>
      </c>
      <c r="K393" s="1" t="s">
        <v>578</v>
      </c>
      <c r="L393" s="5">
        <v>650000</v>
      </c>
      <c r="M393" s="1" t="s">
        <v>339</v>
      </c>
    </row>
    <row r="394" spans="1:13" x14ac:dyDescent="0.25">
      <c r="A394" s="1" t="s">
        <v>1868</v>
      </c>
      <c r="B394" s="1" t="s">
        <v>376</v>
      </c>
      <c r="C394" s="1" t="s">
        <v>1899</v>
      </c>
      <c r="D394" s="1" t="s">
        <v>337</v>
      </c>
      <c r="E394" s="1" t="s">
        <v>16</v>
      </c>
      <c r="F394" s="1" t="s">
        <v>960</v>
      </c>
      <c r="G394" s="1" t="s">
        <v>646</v>
      </c>
      <c r="H394" s="1" t="s">
        <v>605</v>
      </c>
      <c r="I394" s="1" t="s">
        <v>597</v>
      </c>
      <c r="J394" s="1" t="s">
        <v>1143</v>
      </c>
      <c r="K394" s="1" t="s">
        <v>573</v>
      </c>
      <c r="L394" s="5" t="s">
        <v>16</v>
      </c>
      <c r="M394" s="1" t="s">
        <v>319</v>
      </c>
    </row>
    <row r="395" spans="1:13" x14ac:dyDescent="0.25">
      <c r="A395" s="1" t="s">
        <v>2252</v>
      </c>
      <c r="B395" s="1" t="s">
        <v>330</v>
      </c>
      <c r="C395" s="1" t="s">
        <v>2253</v>
      </c>
      <c r="D395" s="1" t="s">
        <v>337</v>
      </c>
      <c r="E395" s="1" t="s">
        <v>16</v>
      </c>
      <c r="F395" s="1" t="s">
        <v>348</v>
      </c>
      <c r="G395" s="1" t="s">
        <v>678</v>
      </c>
      <c r="H395" s="1" t="s">
        <v>570</v>
      </c>
      <c r="I395" s="1" t="s">
        <v>1209</v>
      </c>
      <c r="J395" s="1" t="s">
        <v>829</v>
      </c>
      <c r="K395" s="1" t="s">
        <v>615</v>
      </c>
      <c r="L395" s="5">
        <v>100000</v>
      </c>
      <c r="M395" s="1" t="s">
        <v>348</v>
      </c>
    </row>
    <row r="396" spans="1:13" x14ac:dyDescent="0.25">
      <c r="A396" s="1" t="s">
        <v>412</v>
      </c>
      <c r="B396" s="1" t="s">
        <v>331</v>
      </c>
      <c r="C396" s="1" t="s">
        <v>1620</v>
      </c>
      <c r="D396" s="1" t="s">
        <v>337</v>
      </c>
      <c r="E396" s="1" t="s">
        <v>16</v>
      </c>
      <c r="F396" s="1" t="s">
        <v>590</v>
      </c>
      <c r="G396" s="1" t="s">
        <v>675</v>
      </c>
      <c r="H396" s="1" t="s">
        <v>570</v>
      </c>
      <c r="I396" s="1" t="s">
        <v>1621</v>
      </c>
      <c r="J396" s="1" t="s">
        <v>334</v>
      </c>
      <c r="K396" s="1" t="s">
        <v>16</v>
      </c>
      <c r="L396" s="5">
        <v>100000</v>
      </c>
      <c r="M396" s="1" t="s">
        <v>349</v>
      </c>
    </row>
    <row r="397" spans="1:13" x14ac:dyDescent="0.25">
      <c r="A397" s="1" t="s">
        <v>1527</v>
      </c>
      <c r="B397" s="1" t="s">
        <v>382</v>
      </c>
      <c r="C397" s="1" t="s">
        <v>1528</v>
      </c>
      <c r="D397" s="1" t="s">
        <v>337</v>
      </c>
      <c r="E397" s="1" t="s">
        <v>16</v>
      </c>
      <c r="F397" s="1" t="s">
        <v>1529</v>
      </c>
      <c r="G397" s="1" t="s">
        <v>585</v>
      </c>
      <c r="H397" s="1" t="s">
        <v>16</v>
      </c>
      <c r="I397" s="1" t="s">
        <v>16</v>
      </c>
      <c r="J397" s="1"/>
      <c r="K397" s="1" t="s">
        <v>16</v>
      </c>
      <c r="L397" s="5">
        <v>25000</v>
      </c>
      <c r="M397" s="1" t="s">
        <v>23</v>
      </c>
    </row>
    <row r="398" spans="1:13" x14ac:dyDescent="0.25">
      <c r="A398" s="1" t="s">
        <v>1128</v>
      </c>
      <c r="B398" s="1" t="s">
        <v>325</v>
      </c>
      <c r="C398" s="1" t="s">
        <v>1129</v>
      </c>
      <c r="D398" s="1" t="s">
        <v>337</v>
      </c>
      <c r="E398" s="1" t="s">
        <v>16</v>
      </c>
      <c r="F398" s="1" t="s">
        <v>1130</v>
      </c>
      <c r="G398" s="1" t="s">
        <v>591</v>
      </c>
      <c r="H398" s="1" t="s">
        <v>570</v>
      </c>
      <c r="I398" s="1" t="s">
        <v>1131</v>
      </c>
      <c r="J398" s="1" t="s">
        <v>319</v>
      </c>
      <c r="K398" s="1" t="s">
        <v>573</v>
      </c>
      <c r="L398" s="5">
        <v>350000</v>
      </c>
      <c r="M398" s="1" t="s">
        <v>338</v>
      </c>
    </row>
    <row r="399" spans="1:13" x14ac:dyDescent="0.25">
      <c r="A399" s="1" t="s">
        <v>304</v>
      </c>
      <c r="B399" s="1" t="s">
        <v>325</v>
      </c>
      <c r="C399" s="1" t="s">
        <v>1123</v>
      </c>
      <c r="D399" s="1" t="s">
        <v>337</v>
      </c>
      <c r="E399" s="1" t="s">
        <v>16</v>
      </c>
      <c r="F399" s="1" t="s">
        <v>338</v>
      </c>
      <c r="G399" s="1" t="s">
        <v>617</v>
      </c>
      <c r="H399" s="1" t="s">
        <v>570</v>
      </c>
      <c r="I399" s="1" t="s">
        <v>1124</v>
      </c>
      <c r="J399" s="1" t="s">
        <v>1125</v>
      </c>
      <c r="K399" s="1" t="s">
        <v>573</v>
      </c>
      <c r="L399" s="5">
        <v>1400000</v>
      </c>
      <c r="M399" s="1" t="s">
        <v>338</v>
      </c>
    </row>
    <row r="400" spans="1:13" x14ac:dyDescent="0.25">
      <c r="A400" s="1" t="s">
        <v>529</v>
      </c>
      <c r="B400" s="1" t="s">
        <v>324</v>
      </c>
      <c r="C400" s="1" t="s">
        <v>686</v>
      </c>
      <c r="D400" s="1" t="s">
        <v>370</v>
      </c>
      <c r="E400" s="1" t="s">
        <v>336</v>
      </c>
      <c r="F400" s="1" t="s">
        <v>687</v>
      </c>
      <c r="G400" s="1" t="s">
        <v>668</v>
      </c>
      <c r="H400" s="1" t="s">
        <v>570</v>
      </c>
      <c r="I400" s="1" t="s">
        <v>688</v>
      </c>
      <c r="J400" s="1" t="s">
        <v>689</v>
      </c>
      <c r="K400" s="1" t="s">
        <v>651</v>
      </c>
      <c r="L400" s="5">
        <v>3000000</v>
      </c>
      <c r="M400" s="1" t="s">
        <v>318</v>
      </c>
    </row>
    <row r="401" spans="1:13" x14ac:dyDescent="0.25">
      <c r="A401" s="1" t="s">
        <v>10</v>
      </c>
      <c r="B401" s="1" t="s">
        <v>331</v>
      </c>
      <c r="C401" s="1" t="s">
        <v>2074</v>
      </c>
      <c r="D401" s="1" t="s">
        <v>337</v>
      </c>
      <c r="E401" s="1" t="s">
        <v>16</v>
      </c>
      <c r="F401" s="1" t="s">
        <v>316</v>
      </c>
      <c r="G401" s="1" t="s">
        <v>722</v>
      </c>
      <c r="H401" s="1" t="s">
        <v>570</v>
      </c>
      <c r="I401" s="1" t="s">
        <v>2075</v>
      </c>
      <c r="J401" s="1" t="s">
        <v>841</v>
      </c>
      <c r="K401" s="1" t="s">
        <v>615</v>
      </c>
      <c r="L401" s="5">
        <v>150000</v>
      </c>
      <c r="M401" s="1" t="s">
        <v>316</v>
      </c>
    </row>
    <row r="402" spans="1:13" x14ac:dyDescent="0.25">
      <c r="A402" s="1" t="s">
        <v>397</v>
      </c>
      <c r="B402" s="1" t="s">
        <v>324</v>
      </c>
      <c r="C402" s="1" t="s">
        <v>1921</v>
      </c>
      <c r="D402" s="1" t="s">
        <v>337</v>
      </c>
      <c r="E402" s="1" t="s">
        <v>16</v>
      </c>
      <c r="F402" s="1" t="s">
        <v>319</v>
      </c>
      <c r="G402" s="1" t="s">
        <v>1922</v>
      </c>
      <c r="H402" s="1" t="s">
        <v>570</v>
      </c>
      <c r="I402" s="1" t="s">
        <v>1923</v>
      </c>
      <c r="J402" s="1" t="s">
        <v>332</v>
      </c>
      <c r="K402" s="1" t="s">
        <v>573</v>
      </c>
      <c r="L402" s="5">
        <v>200000</v>
      </c>
      <c r="M402" s="1" t="s">
        <v>319</v>
      </c>
    </row>
    <row r="403" spans="1:13" x14ac:dyDescent="0.25">
      <c r="A403" s="1" t="s">
        <v>115</v>
      </c>
      <c r="B403" s="1" t="s">
        <v>324</v>
      </c>
      <c r="C403" s="1" t="s">
        <v>1101</v>
      </c>
      <c r="D403" s="1" t="s">
        <v>337</v>
      </c>
      <c r="E403" s="1" t="s">
        <v>16</v>
      </c>
      <c r="F403" s="1" t="s">
        <v>338</v>
      </c>
      <c r="G403" s="1" t="s">
        <v>678</v>
      </c>
      <c r="H403" s="1" t="s">
        <v>570</v>
      </c>
      <c r="I403" s="1" t="s">
        <v>597</v>
      </c>
      <c r="J403" s="1" t="s">
        <v>334</v>
      </c>
      <c r="K403" s="1" t="s">
        <v>615</v>
      </c>
      <c r="L403" s="5">
        <v>500000</v>
      </c>
      <c r="M403" s="1" t="s">
        <v>338</v>
      </c>
    </row>
    <row r="404" spans="1:13" x14ac:dyDescent="0.25">
      <c r="A404" s="1" t="s">
        <v>45</v>
      </c>
      <c r="B404" s="1" t="s">
        <v>0</v>
      </c>
      <c r="C404" s="1" t="s">
        <v>2113</v>
      </c>
      <c r="D404" s="1" t="s">
        <v>337</v>
      </c>
      <c r="E404" s="1" t="s">
        <v>16</v>
      </c>
      <c r="F404" s="1" t="s">
        <v>348</v>
      </c>
      <c r="G404" s="1" t="s">
        <v>1380</v>
      </c>
      <c r="H404" s="1" t="s">
        <v>605</v>
      </c>
      <c r="I404" s="1" t="s">
        <v>874</v>
      </c>
      <c r="J404" s="1" t="s">
        <v>1643</v>
      </c>
      <c r="K404" s="1" t="s">
        <v>615</v>
      </c>
      <c r="L404" s="5">
        <v>150000</v>
      </c>
      <c r="M404" s="1" t="s">
        <v>348</v>
      </c>
    </row>
    <row r="405" spans="1:13" x14ac:dyDescent="0.25">
      <c r="A405" s="1" t="s">
        <v>1877</v>
      </c>
      <c r="B405" s="1" t="s">
        <v>325</v>
      </c>
      <c r="C405" s="1" t="s">
        <v>1944</v>
      </c>
      <c r="D405" s="1" t="s">
        <v>337</v>
      </c>
      <c r="E405" s="1" t="s">
        <v>16</v>
      </c>
      <c r="F405" s="1" t="s">
        <v>1060</v>
      </c>
      <c r="G405" s="1" t="s">
        <v>775</v>
      </c>
      <c r="H405" s="1" t="s">
        <v>570</v>
      </c>
      <c r="I405" s="1" t="s">
        <v>1945</v>
      </c>
      <c r="J405" s="1" t="s">
        <v>1107</v>
      </c>
      <c r="K405" s="1" t="s">
        <v>615</v>
      </c>
      <c r="L405" s="5" t="s">
        <v>16</v>
      </c>
      <c r="M405" s="1" t="s">
        <v>319</v>
      </c>
    </row>
    <row r="406" spans="1:13" x14ac:dyDescent="0.25">
      <c r="A406" s="1" t="s">
        <v>599</v>
      </c>
      <c r="B406" s="1" t="s">
        <v>0</v>
      </c>
      <c r="C406" s="1" t="s">
        <v>600</v>
      </c>
      <c r="D406" s="1" t="s">
        <v>337</v>
      </c>
      <c r="E406" s="1" t="s">
        <v>16</v>
      </c>
      <c r="F406" s="1" t="s">
        <v>601</v>
      </c>
      <c r="G406" s="1" t="s">
        <v>575</v>
      </c>
      <c r="H406" s="1" t="s">
        <v>570</v>
      </c>
      <c r="I406" s="1" t="s">
        <v>602</v>
      </c>
      <c r="J406" s="1" t="s">
        <v>577</v>
      </c>
      <c r="K406" s="1" t="s">
        <v>573</v>
      </c>
      <c r="L406" s="5">
        <v>25000</v>
      </c>
      <c r="M406" s="1" t="s">
        <v>318</v>
      </c>
    </row>
    <row r="407" spans="1:13" x14ac:dyDescent="0.25">
      <c r="A407" s="1" t="s">
        <v>525</v>
      </c>
      <c r="B407" s="1" t="s">
        <v>382</v>
      </c>
      <c r="C407" s="1" t="s">
        <v>2230</v>
      </c>
      <c r="D407" s="1" t="s">
        <v>337</v>
      </c>
      <c r="E407" s="1" t="s">
        <v>16</v>
      </c>
      <c r="F407" s="1" t="s">
        <v>1281</v>
      </c>
      <c r="G407" s="1" t="s">
        <v>702</v>
      </c>
      <c r="H407" s="1" t="s">
        <v>570</v>
      </c>
      <c r="I407" s="1" t="s">
        <v>2231</v>
      </c>
      <c r="J407" s="1" t="s">
        <v>334</v>
      </c>
      <c r="K407" s="1" t="s">
        <v>573</v>
      </c>
      <c r="L407" s="5" t="s">
        <v>16</v>
      </c>
      <c r="M407" s="1" t="s">
        <v>348</v>
      </c>
    </row>
    <row r="408" spans="1:13" x14ac:dyDescent="0.25">
      <c r="A408" s="1" t="s">
        <v>386</v>
      </c>
      <c r="B408" s="1" t="s">
        <v>325</v>
      </c>
      <c r="C408" s="1" t="s">
        <v>718</v>
      </c>
      <c r="D408" s="1" t="s">
        <v>337</v>
      </c>
      <c r="E408" s="1" t="s">
        <v>16</v>
      </c>
      <c r="F408" s="1" t="s">
        <v>318</v>
      </c>
      <c r="G408" s="1" t="s">
        <v>660</v>
      </c>
      <c r="H408" s="1" t="s">
        <v>605</v>
      </c>
      <c r="I408" s="1" t="s">
        <v>719</v>
      </c>
      <c r="J408" s="1" t="s">
        <v>673</v>
      </c>
      <c r="K408" s="1" t="s">
        <v>578</v>
      </c>
      <c r="L408" s="5">
        <v>800000</v>
      </c>
      <c r="M408" s="1" t="s">
        <v>318</v>
      </c>
    </row>
    <row r="409" spans="1:13" x14ac:dyDescent="0.25">
      <c r="A409" s="1" t="s">
        <v>260</v>
      </c>
      <c r="B409" s="1" t="s">
        <v>382</v>
      </c>
      <c r="C409" s="1" t="s">
        <v>2141</v>
      </c>
      <c r="D409" s="1" t="s">
        <v>337</v>
      </c>
      <c r="E409" s="1" t="s">
        <v>16</v>
      </c>
      <c r="F409" s="1" t="s">
        <v>708</v>
      </c>
      <c r="G409" s="1" t="s">
        <v>609</v>
      </c>
      <c r="H409" s="1" t="s">
        <v>586</v>
      </c>
      <c r="I409" s="1" t="s">
        <v>624</v>
      </c>
      <c r="J409" s="1" t="s">
        <v>708</v>
      </c>
      <c r="K409" s="1" t="s">
        <v>573</v>
      </c>
      <c r="L409" s="5">
        <v>100000</v>
      </c>
      <c r="M409" s="1" t="s">
        <v>383</v>
      </c>
    </row>
    <row r="410" spans="1:13" x14ac:dyDescent="0.25">
      <c r="A410" s="1" t="s">
        <v>1293</v>
      </c>
      <c r="B410" s="1" t="s">
        <v>382</v>
      </c>
      <c r="C410" s="1" t="s">
        <v>1318</v>
      </c>
      <c r="D410" s="1" t="s">
        <v>337</v>
      </c>
      <c r="E410" s="1" t="s">
        <v>16</v>
      </c>
      <c r="F410" s="1" t="s">
        <v>1317</v>
      </c>
      <c r="G410" s="1" t="s">
        <v>656</v>
      </c>
      <c r="H410" s="1" t="s">
        <v>570</v>
      </c>
      <c r="I410" s="1" t="s">
        <v>1319</v>
      </c>
      <c r="J410" s="1" t="s">
        <v>577</v>
      </c>
      <c r="K410" s="1" t="s">
        <v>573</v>
      </c>
      <c r="L410" s="5">
        <v>50000</v>
      </c>
      <c r="M410" s="1" t="s">
        <v>315</v>
      </c>
    </row>
    <row r="411" spans="1:13" x14ac:dyDescent="0.25">
      <c r="A411" s="1" t="s">
        <v>90</v>
      </c>
      <c r="B411" s="1" t="s">
        <v>325</v>
      </c>
      <c r="C411" s="1" t="s">
        <v>1762</v>
      </c>
      <c r="D411" s="1" t="s">
        <v>337</v>
      </c>
      <c r="E411" s="1" t="s">
        <v>16</v>
      </c>
      <c r="F411" s="1" t="s">
        <v>1060</v>
      </c>
      <c r="G411" s="1" t="s">
        <v>633</v>
      </c>
      <c r="H411" s="1" t="s">
        <v>605</v>
      </c>
      <c r="I411" s="1" t="s">
        <v>1763</v>
      </c>
      <c r="J411" s="1" t="s">
        <v>1672</v>
      </c>
      <c r="K411" s="1" t="s">
        <v>573</v>
      </c>
      <c r="L411" s="5">
        <v>25000</v>
      </c>
      <c r="M411" s="1" t="s">
        <v>361</v>
      </c>
    </row>
    <row r="412" spans="1:13" x14ac:dyDescent="0.25">
      <c r="A412" s="1" t="s">
        <v>472</v>
      </c>
      <c r="B412" s="1" t="s">
        <v>331</v>
      </c>
      <c r="C412" s="1" t="s">
        <v>966</v>
      </c>
      <c r="D412" s="1" t="s">
        <v>337</v>
      </c>
      <c r="E412" s="1" t="s">
        <v>16</v>
      </c>
      <c r="F412" s="1" t="s">
        <v>836</v>
      </c>
      <c r="G412" s="1" t="s">
        <v>791</v>
      </c>
      <c r="H412" s="1" t="s">
        <v>16</v>
      </c>
      <c r="I412" s="1" t="s">
        <v>1900</v>
      </c>
      <c r="J412" s="1" t="s">
        <v>708</v>
      </c>
      <c r="K412" s="1" t="s">
        <v>615</v>
      </c>
      <c r="L412" s="5">
        <v>350000</v>
      </c>
      <c r="M412" s="1" t="s">
        <v>319</v>
      </c>
    </row>
    <row r="413" spans="1:13" x14ac:dyDescent="0.25">
      <c r="A413" s="1" t="s">
        <v>896</v>
      </c>
      <c r="B413" s="1" t="s">
        <v>382</v>
      </c>
      <c r="C413" s="1" t="s">
        <v>921</v>
      </c>
      <c r="D413" s="1" t="s">
        <v>337</v>
      </c>
      <c r="E413" s="1" t="s">
        <v>16</v>
      </c>
      <c r="F413" s="1" t="s">
        <v>590</v>
      </c>
      <c r="G413" s="1" t="s">
        <v>580</v>
      </c>
      <c r="H413" s="1" t="s">
        <v>586</v>
      </c>
      <c r="I413" s="1" t="s">
        <v>922</v>
      </c>
      <c r="J413" s="1" t="s">
        <v>923</v>
      </c>
      <c r="K413" s="1" t="s">
        <v>16</v>
      </c>
      <c r="L413" s="5" t="s">
        <v>16</v>
      </c>
      <c r="M413" s="1" t="s">
        <v>332</v>
      </c>
    </row>
    <row r="414" spans="1:13" x14ac:dyDescent="0.25">
      <c r="A414" s="1" t="s">
        <v>417</v>
      </c>
      <c r="B414" s="1" t="s">
        <v>331</v>
      </c>
      <c r="C414" s="1" t="s">
        <v>1010</v>
      </c>
      <c r="D414" s="1" t="s">
        <v>337</v>
      </c>
      <c r="E414" s="1" t="s">
        <v>16</v>
      </c>
      <c r="F414" s="1" t="s">
        <v>349</v>
      </c>
      <c r="G414" s="1" t="s">
        <v>617</v>
      </c>
      <c r="H414" s="1" t="s">
        <v>570</v>
      </c>
      <c r="I414" s="1" t="s">
        <v>1011</v>
      </c>
      <c r="J414" s="1" t="s">
        <v>1012</v>
      </c>
      <c r="K414" s="1" t="s">
        <v>615</v>
      </c>
      <c r="L414" s="5">
        <v>500000</v>
      </c>
      <c r="M414" s="1" t="s">
        <v>341</v>
      </c>
    </row>
    <row r="415" spans="1:13" x14ac:dyDescent="0.25">
      <c r="A415" s="1" t="s">
        <v>425</v>
      </c>
      <c r="B415" s="1" t="s">
        <v>325</v>
      </c>
      <c r="C415" s="1" t="s">
        <v>713</v>
      </c>
      <c r="D415" s="1" t="s">
        <v>426</v>
      </c>
      <c r="E415" s="1" t="s">
        <v>16</v>
      </c>
      <c r="F415" s="1" t="s">
        <v>714</v>
      </c>
      <c r="G415" s="1" t="s">
        <v>609</v>
      </c>
      <c r="H415" s="1" t="s">
        <v>586</v>
      </c>
      <c r="I415" s="1" t="s">
        <v>618</v>
      </c>
      <c r="J415" s="1" t="s">
        <v>715</v>
      </c>
      <c r="K415" s="1" t="s">
        <v>573</v>
      </c>
      <c r="L415" s="5">
        <v>1500000</v>
      </c>
      <c r="M415" s="1" t="s">
        <v>318</v>
      </c>
    </row>
    <row r="416" spans="1:13" x14ac:dyDescent="0.25">
      <c r="A416" s="1" t="s">
        <v>129</v>
      </c>
      <c r="B416" s="1" t="s">
        <v>382</v>
      </c>
      <c r="C416" s="1" t="s">
        <v>604</v>
      </c>
      <c r="D416" s="1" t="s">
        <v>337</v>
      </c>
      <c r="E416" s="1" t="s">
        <v>347</v>
      </c>
      <c r="F416" s="1" t="s">
        <v>318</v>
      </c>
      <c r="G416" s="1" t="s">
        <v>580</v>
      </c>
      <c r="H416" s="1" t="s">
        <v>605</v>
      </c>
      <c r="I416" s="1" t="s">
        <v>606</v>
      </c>
      <c r="J416" s="1" t="s">
        <v>603</v>
      </c>
      <c r="K416" s="1" t="s">
        <v>578</v>
      </c>
      <c r="L416" s="5">
        <v>1500000</v>
      </c>
      <c r="M416" s="1" t="s">
        <v>318</v>
      </c>
    </row>
    <row r="417" spans="1:13" x14ac:dyDescent="0.25">
      <c r="A417" s="1" t="s">
        <v>798</v>
      </c>
      <c r="B417" s="1" t="s">
        <v>324</v>
      </c>
      <c r="C417" s="1" t="s">
        <v>799</v>
      </c>
      <c r="D417" s="1" t="s">
        <v>337</v>
      </c>
      <c r="E417" s="1" t="s">
        <v>16</v>
      </c>
      <c r="F417" s="1" t="s">
        <v>334</v>
      </c>
      <c r="G417" s="1" t="s">
        <v>660</v>
      </c>
      <c r="H417" s="1" t="s">
        <v>586</v>
      </c>
      <c r="I417" s="1" t="s">
        <v>800</v>
      </c>
      <c r="J417" s="1" t="s">
        <v>829</v>
      </c>
      <c r="K417" s="1" t="s">
        <v>658</v>
      </c>
      <c r="L417" s="5">
        <v>25000</v>
      </c>
      <c r="M417" s="1" t="s">
        <v>334</v>
      </c>
    </row>
    <row r="418" spans="1:13" x14ac:dyDescent="0.25">
      <c r="A418" s="1" t="s">
        <v>1138</v>
      </c>
      <c r="B418" s="1" t="s">
        <v>376</v>
      </c>
      <c r="C418" s="1" t="s">
        <v>1168</v>
      </c>
      <c r="D418" s="1" t="s">
        <v>337</v>
      </c>
      <c r="E418" s="1" t="s">
        <v>16</v>
      </c>
      <c r="F418" s="1" t="s">
        <v>1169</v>
      </c>
      <c r="G418" s="1" t="s">
        <v>702</v>
      </c>
      <c r="H418" s="1" t="s">
        <v>570</v>
      </c>
      <c r="I418" s="1" t="s">
        <v>1170</v>
      </c>
      <c r="J418" s="1" t="s">
        <v>1148</v>
      </c>
      <c r="K418" s="1" t="s">
        <v>573</v>
      </c>
      <c r="L418" s="5">
        <v>25000</v>
      </c>
      <c r="M418" s="1" t="s">
        <v>344</v>
      </c>
    </row>
    <row r="419" spans="1:13" x14ac:dyDescent="0.25">
      <c r="A419" s="1" t="s">
        <v>1948</v>
      </c>
      <c r="B419" s="1" t="s">
        <v>0</v>
      </c>
      <c r="C419" s="1" t="s">
        <v>1949</v>
      </c>
      <c r="D419" s="1" t="s">
        <v>337</v>
      </c>
      <c r="E419" s="1" t="s">
        <v>335</v>
      </c>
      <c r="F419" s="1" t="s">
        <v>345</v>
      </c>
      <c r="G419" s="1" t="s">
        <v>596</v>
      </c>
      <c r="H419" s="1" t="s">
        <v>570</v>
      </c>
      <c r="I419" s="1" t="s">
        <v>618</v>
      </c>
      <c r="J419" s="1" t="s">
        <v>1950</v>
      </c>
      <c r="K419" s="1" t="s">
        <v>578</v>
      </c>
      <c r="L419" s="5">
        <v>100000</v>
      </c>
      <c r="M419" s="1" t="s">
        <v>345</v>
      </c>
    </row>
    <row r="420" spans="1:13" x14ac:dyDescent="0.25">
      <c r="A420" s="1" t="s">
        <v>761</v>
      </c>
      <c r="B420" s="1" t="s">
        <v>382</v>
      </c>
      <c r="C420" s="1" t="s">
        <v>762</v>
      </c>
      <c r="D420" s="1" t="s">
        <v>337</v>
      </c>
      <c r="E420" s="1" t="s">
        <v>16</v>
      </c>
      <c r="F420" s="1" t="s">
        <v>836</v>
      </c>
      <c r="G420" s="1" t="s">
        <v>633</v>
      </c>
      <c r="H420" s="1" t="s">
        <v>586</v>
      </c>
      <c r="I420" s="1" t="s">
        <v>763</v>
      </c>
      <c r="J420" s="1" t="s">
        <v>829</v>
      </c>
      <c r="K420" s="1" t="s">
        <v>573</v>
      </c>
      <c r="L420" s="5">
        <v>25000</v>
      </c>
      <c r="M420" s="1" t="s">
        <v>334</v>
      </c>
    </row>
    <row r="421" spans="1:13" x14ac:dyDescent="0.25">
      <c r="A421" s="1" t="s">
        <v>215</v>
      </c>
      <c r="B421" s="1" t="s">
        <v>324</v>
      </c>
      <c r="C421" s="1" t="s">
        <v>1918</v>
      </c>
      <c r="D421" s="1" t="s">
        <v>337</v>
      </c>
      <c r="E421" s="1" t="s">
        <v>16</v>
      </c>
      <c r="F421" s="1" t="s">
        <v>733</v>
      </c>
      <c r="G421" s="1" t="s">
        <v>678</v>
      </c>
      <c r="H421" s="1" t="s">
        <v>570</v>
      </c>
      <c r="I421" s="1" t="s">
        <v>770</v>
      </c>
      <c r="J421" s="1" t="s">
        <v>733</v>
      </c>
      <c r="K421" s="1" t="s">
        <v>615</v>
      </c>
      <c r="L421" s="5">
        <v>850000</v>
      </c>
      <c r="M421" s="1" t="s">
        <v>319</v>
      </c>
    </row>
    <row r="422" spans="1:13" x14ac:dyDescent="0.25">
      <c r="A422" s="1" t="s">
        <v>87</v>
      </c>
      <c r="B422" s="1" t="s">
        <v>325</v>
      </c>
      <c r="C422" s="1" t="s">
        <v>1757</v>
      </c>
      <c r="D422" s="1" t="s">
        <v>333</v>
      </c>
      <c r="E422" s="1" t="s">
        <v>16</v>
      </c>
      <c r="F422" s="1" t="s">
        <v>361</v>
      </c>
      <c r="G422" s="1" t="s">
        <v>675</v>
      </c>
      <c r="H422" s="1" t="s">
        <v>570</v>
      </c>
      <c r="I422" s="3">
        <v>44643</v>
      </c>
      <c r="J422" s="1" t="s">
        <v>1756</v>
      </c>
      <c r="K422" s="1" t="s">
        <v>573</v>
      </c>
      <c r="L422" s="5">
        <v>400000</v>
      </c>
      <c r="M422" s="1" t="s">
        <v>361</v>
      </c>
    </row>
    <row r="423" spans="1:13" x14ac:dyDescent="0.25">
      <c r="A423" s="1" t="s">
        <v>1251</v>
      </c>
      <c r="B423" s="1" t="s">
        <v>357</v>
      </c>
      <c r="C423" s="1" t="s">
        <v>1252</v>
      </c>
      <c r="D423" s="1" t="s">
        <v>337</v>
      </c>
      <c r="E423" s="1" t="s">
        <v>16</v>
      </c>
      <c r="F423" s="1" t="s">
        <v>316</v>
      </c>
      <c r="G423" s="1" t="s">
        <v>617</v>
      </c>
      <c r="H423" s="1" t="s">
        <v>586</v>
      </c>
      <c r="I423" s="1" t="s">
        <v>618</v>
      </c>
      <c r="J423" s="1" t="s">
        <v>1253</v>
      </c>
      <c r="K423" s="1" t="s">
        <v>573</v>
      </c>
      <c r="L423" s="5">
        <v>25000</v>
      </c>
      <c r="M423" s="1" t="s">
        <v>339</v>
      </c>
    </row>
    <row r="424" spans="1:13" x14ac:dyDescent="0.25">
      <c r="A424" s="1" t="s">
        <v>2206</v>
      </c>
      <c r="B424" s="1" t="s">
        <v>11</v>
      </c>
      <c r="C424" s="1" t="s">
        <v>2207</v>
      </c>
      <c r="D424" s="1" t="s">
        <v>337</v>
      </c>
      <c r="E424" s="1" t="s">
        <v>16</v>
      </c>
      <c r="F424" s="1" t="s">
        <v>2208</v>
      </c>
      <c r="G424" s="1" t="s">
        <v>16</v>
      </c>
      <c r="H424" s="1" t="s">
        <v>16</v>
      </c>
      <c r="I424" s="1" t="s">
        <v>1343</v>
      </c>
      <c r="J424" s="1" t="s">
        <v>2209</v>
      </c>
      <c r="K424" s="1" t="s">
        <v>16</v>
      </c>
      <c r="L424" s="5">
        <v>25000</v>
      </c>
      <c r="M424" s="1" t="s">
        <v>348</v>
      </c>
    </row>
    <row r="425" spans="1:13" x14ac:dyDescent="0.25">
      <c r="A425" s="1" t="s">
        <v>2096</v>
      </c>
      <c r="B425" s="1" t="s">
        <v>352</v>
      </c>
      <c r="C425" s="1" t="s">
        <v>1708</v>
      </c>
      <c r="D425" s="1" t="s">
        <v>350</v>
      </c>
      <c r="E425" s="1" t="s">
        <v>16</v>
      </c>
      <c r="F425" s="1" t="s">
        <v>316</v>
      </c>
      <c r="G425" s="1" t="s">
        <v>646</v>
      </c>
      <c r="H425" s="1" t="s">
        <v>16</v>
      </c>
      <c r="I425" s="1" t="s">
        <v>938</v>
      </c>
      <c r="J425" s="1" t="s">
        <v>893</v>
      </c>
      <c r="K425" s="1" t="s">
        <v>573</v>
      </c>
      <c r="L425" s="5">
        <v>125000</v>
      </c>
      <c r="M425" s="1" t="s">
        <v>316</v>
      </c>
    </row>
    <row r="426" spans="1:13" x14ac:dyDescent="0.25">
      <c r="A426" s="1" t="s">
        <v>443</v>
      </c>
      <c r="B426" s="1" t="s">
        <v>328</v>
      </c>
      <c r="C426" s="1" t="s">
        <v>1034</v>
      </c>
      <c r="D426" s="1" t="s">
        <v>337</v>
      </c>
      <c r="E426" s="1" t="s">
        <v>16</v>
      </c>
      <c r="F426" s="1" t="s">
        <v>341</v>
      </c>
      <c r="G426" s="1" t="s">
        <v>641</v>
      </c>
      <c r="H426" s="1" t="s">
        <v>605</v>
      </c>
      <c r="I426" s="1" t="s">
        <v>1035</v>
      </c>
      <c r="J426" s="1" t="s">
        <v>1012</v>
      </c>
      <c r="K426" s="1" t="s">
        <v>615</v>
      </c>
      <c r="L426" s="5">
        <v>400000</v>
      </c>
      <c r="M426" s="1" t="s">
        <v>341</v>
      </c>
    </row>
    <row r="427" spans="1:13" x14ac:dyDescent="0.25">
      <c r="A427" s="1" t="s">
        <v>443</v>
      </c>
      <c r="B427" s="1" t="s">
        <v>328</v>
      </c>
      <c r="C427" s="1" t="s">
        <v>1034</v>
      </c>
      <c r="D427" s="1" t="s">
        <v>337</v>
      </c>
      <c r="E427" s="1" t="s">
        <v>16</v>
      </c>
      <c r="F427" s="1" t="s">
        <v>341</v>
      </c>
      <c r="G427" s="1" t="s">
        <v>641</v>
      </c>
      <c r="H427" s="1" t="s">
        <v>605</v>
      </c>
      <c r="I427" s="1" t="s">
        <v>935</v>
      </c>
      <c r="J427" s="1" t="s">
        <v>341</v>
      </c>
      <c r="K427" s="1" t="s">
        <v>615</v>
      </c>
      <c r="L427" s="5">
        <v>400000</v>
      </c>
      <c r="M427" s="1" t="s">
        <v>348</v>
      </c>
    </row>
    <row r="428" spans="1:13" x14ac:dyDescent="0.25">
      <c r="A428" s="1" t="s">
        <v>237</v>
      </c>
      <c r="B428" s="1" t="s">
        <v>324</v>
      </c>
      <c r="C428" s="1" t="s">
        <v>2017</v>
      </c>
      <c r="D428" s="1" t="s">
        <v>337</v>
      </c>
      <c r="E428" s="1" t="s">
        <v>347</v>
      </c>
      <c r="F428" s="1" t="s">
        <v>345</v>
      </c>
      <c r="G428" s="1" t="s">
        <v>702</v>
      </c>
      <c r="H428" s="1" t="s">
        <v>570</v>
      </c>
      <c r="I428" s="1" t="s">
        <v>2018</v>
      </c>
      <c r="J428" s="1" t="s">
        <v>2019</v>
      </c>
      <c r="K428" s="1" t="s">
        <v>615</v>
      </c>
      <c r="L428" s="5">
        <v>250000</v>
      </c>
      <c r="M428" s="1" t="s">
        <v>345</v>
      </c>
    </row>
    <row r="429" spans="1:13" x14ac:dyDescent="0.25">
      <c r="A429" s="1" t="s">
        <v>2204</v>
      </c>
      <c r="B429" s="1" t="s">
        <v>325</v>
      </c>
      <c r="C429" s="1" t="s">
        <v>2205</v>
      </c>
      <c r="D429" s="1" t="s">
        <v>337</v>
      </c>
      <c r="E429" s="1" t="s">
        <v>16</v>
      </c>
      <c r="F429" s="1" t="s">
        <v>383</v>
      </c>
      <c r="G429" s="1" t="s">
        <v>675</v>
      </c>
      <c r="H429" s="1" t="s">
        <v>16</v>
      </c>
      <c r="I429" s="1" t="s">
        <v>1495</v>
      </c>
      <c r="J429" s="1" t="s">
        <v>2144</v>
      </c>
      <c r="K429" s="1" t="s">
        <v>573</v>
      </c>
      <c r="L429" s="5" t="s">
        <v>16</v>
      </c>
      <c r="M429" s="1" t="s">
        <v>383</v>
      </c>
    </row>
    <row r="430" spans="1:13" x14ac:dyDescent="0.25">
      <c r="A430" s="1" t="s">
        <v>1487</v>
      </c>
      <c r="B430" s="1" t="s">
        <v>324</v>
      </c>
      <c r="C430" s="1" t="s">
        <v>1926</v>
      </c>
      <c r="D430" s="1" t="s">
        <v>337</v>
      </c>
      <c r="E430" s="1" t="s">
        <v>16</v>
      </c>
      <c r="F430" s="1" t="s">
        <v>23</v>
      </c>
      <c r="G430" s="1" t="s">
        <v>617</v>
      </c>
      <c r="H430" s="1" t="s">
        <v>570</v>
      </c>
      <c r="I430" s="1" t="s">
        <v>1927</v>
      </c>
      <c r="J430" s="1" t="s">
        <v>23</v>
      </c>
      <c r="K430" s="1" t="s">
        <v>615</v>
      </c>
      <c r="L430" s="5">
        <v>75000</v>
      </c>
      <c r="M430" s="1" t="s">
        <v>319</v>
      </c>
    </row>
    <row r="431" spans="1:13" x14ac:dyDescent="0.25">
      <c r="A431" s="1" t="s">
        <v>193</v>
      </c>
      <c r="B431" s="1" t="s">
        <v>324</v>
      </c>
      <c r="C431" s="1" t="s">
        <v>952</v>
      </c>
      <c r="D431" s="1" t="s">
        <v>337</v>
      </c>
      <c r="E431" s="1" t="s">
        <v>16</v>
      </c>
      <c r="F431" s="1" t="s">
        <v>332</v>
      </c>
      <c r="G431" s="1" t="s">
        <v>709</v>
      </c>
      <c r="H431" s="1" t="s">
        <v>605</v>
      </c>
      <c r="I431" s="1" t="s">
        <v>592</v>
      </c>
      <c r="J431" s="1" t="s">
        <v>731</v>
      </c>
      <c r="K431" s="1" t="s">
        <v>615</v>
      </c>
      <c r="L431" s="5">
        <v>1000000</v>
      </c>
      <c r="M431" s="1" t="s">
        <v>332</v>
      </c>
    </row>
    <row r="432" spans="1:13" x14ac:dyDescent="0.25">
      <c r="A432" s="1" t="s">
        <v>206</v>
      </c>
      <c r="B432" s="1" t="s">
        <v>382</v>
      </c>
      <c r="C432" s="1" t="s">
        <v>1888</v>
      </c>
      <c r="D432" s="1" t="s">
        <v>337</v>
      </c>
      <c r="E432" s="1" t="s">
        <v>16</v>
      </c>
      <c r="F432" s="1" t="s">
        <v>319</v>
      </c>
      <c r="G432" s="1" t="s">
        <v>722</v>
      </c>
      <c r="H432" s="1" t="s">
        <v>586</v>
      </c>
      <c r="I432" s="1" t="s">
        <v>1889</v>
      </c>
      <c r="J432" s="1" t="s">
        <v>724</v>
      </c>
      <c r="K432" s="1" t="s">
        <v>573</v>
      </c>
      <c r="L432" s="5">
        <v>500000</v>
      </c>
      <c r="M432" s="1" t="s">
        <v>319</v>
      </c>
    </row>
    <row r="433" spans="1:13" x14ac:dyDescent="0.25">
      <c r="A433" s="1" t="s">
        <v>4</v>
      </c>
      <c r="B433" s="1" t="s">
        <v>357</v>
      </c>
      <c r="C433" s="1" t="s">
        <v>2059</v>
      </c>
      <c r="D433" s="1" t="s">
        <v>337</v>
      </c>
      <c r="E433" s="1" t="s">
        <v>16</v>
      </c>
      <c r="F433" s="1" t="s">
        <v>316</v>
      </c>
      <c r="G433" s="1" t="s">
        <v>709</v>
      </c>
      <c r="H433" s="1" t="s">
        <v>586</v>
      </c>
      <c r="I433" s="1" t="s">
        <v>2060</v>
      </c>
      <c r="J433" s="1" t="s">
        <v>383</v>
      </c>
      <c r="K433" s="1" t="s">
        <v>573</v>
      </c>
      <c r="L433" s="5">
        <v>150000</v>
      </c>
      <c r="M433" s="1" t="s">
        <v>316</v>
      </c>
    </row>
    <row r="434" spans="1:13" x14ac:dyDescent="0.25">
      <c r="A434" s="1" t="s">
        <v>252</v>
      </c>
      <c r="B434" s="1" t="s">
        <v>326</v>
      </c>
      <c r="C434" s="1" t="s">
        <v>1656</v>
      </c>
      <c r="D434" s="1" t="s">
        <v>337</v>
      </c>
      <c r="E434" s="1" t="s">
        <v>16</v>
      </c>
      <c r="F434" s="1" t="s">
        <v>1657</v>
      </c>
      <c r="G434" s="1" t="s">
        <v>775</v>
      </c>
      <c r="H434" s="1" t="s">
        <v>16</v>
      </c>
      <c r="I434" s="1" t="s">
        <v>1452</v>
      </c>
      <c r="J434" s="1" t="s">
        <v>1658</v>
      </c>
      <c r="K434" s="1" t="s">
        <v>573</v>
      </c>
      <c r="L434" s="5">
        <v>25000</v>
      </c>
      <c r="M434" s="1" t="s">
        <v>349</v>
      </c>
    </row>
    <row r="435" spans="1:13" x14ac:dyDescent="0.25">
      <c r="A435" s="1" t="s">
        <v>9</v>
      </c>
      <c r="B435" s="1" t="s">
        <v>352</v>
      </c>
      <c r="C435" s="1" t="s">
        <v>2097</v>
      </c>
      <c r="D435" s="1" t="s">
        <v>337</v>
      </c>
      <c r="E435" s="1" t="s">
        <v>16</v>
      </c>
      <c r="F435" s="1" t="s">
        <v>847</v>
      </c>
      <c r="G435" s="1" t="s">
        <v>791</v>
      </c>
      <c r="H435" s="1" t="s">
        <v>570</v>
      </c>
      <c r="I435" s="1" t="s">
        <v>597</v>
      </c>
      <c r="J435" s="1" t="s">
        <v>334</v>
      </c>
      <c r="K435" s="1" t="s">
        <v>615</v>
      </c>
      <c r="L435" s="5">
        <v>100000</v>
      </c>
      <c r="M435" s="1" t="s">
        <v>316</v>
      </c>
    </row>
    <row r="436" spans="1:13" x14ac:dyDescent="0.25">
      <c r="A436" s="1" t="s">
        <v>121</v>
      </c>
      <c r="B436" s="1" t="s">
        <v>324</v>
      </c>
      <c r="C436" s="1" t="s">
        <v>1099</v>
      </c>
      <c r="D436" s="1" t="s">
        <v>347</v>
      </c>
      <c r="E436" s="1" t="s">
        <v>390</v>
      </c>
      <c r="F436" s="1" t="s">
        <v>338</v>
      </c>
      <c r="G436" s="1" t="s">
        <v>709</v>
      </c>
      <c r="H436" s="1" t="s">
        <v>570</v>
      </c>
      <c r="I436" s="1" t="s">
        <v>1100</v>
      </c>
      <c r="J436" s="1" t="s">
        <v>867</v>
      </c>
      <c r="K436" s="1" t="s">
        <v>573</v>
      </c>
      <c r="L436" s="5">
        <v>550000</v>
      </c>
      <c r="M436" s="1" t="s">
        <v>338</v>
      </c>
    </row>
    <row r="437" spans="1:13" x14ac:dyDescent="0.25">
      <c r="A437" s="1" t="s">
        <v>413</v>
      </c>
      <c r="B437" s="1" t="s">
        <v>325</v>
      </c>
      <c r="C437" s="1" t="s">
        <v>1571</v>
      </c>
      <c r="D437" s="1" t="s">
        <v>347</v>
      </c>
      <c r="E437" s="1" t="s">
        <v>333</v>
      </c>
      <c r="F437" s="1" t="s">
        <v>1572</v>
      </c>
      <c r="G437" s="1" t="s">
        <v>646</v>
      </c>
      <c r="H437" s="1" t="s">
        <v>570</v>
      </c>
      <c r="I437" s="1" t="s">
        <v>743</v>
      </c>
      <c r="J437" s="1" t="s">
        <v>1573</v>
      </c>
      <c r="K437" s="1" t="s">
        <v>615</v>
      </c>
      <c r="L437" s="5">
        <v>100000</v>
      </c>
      <c r="M437" s="1" t="s">
        <v>23</v>
      </c>
    </row>
    <row r="438" spans="1:13" x14ac:dyDescent="0.25">
      <c r="A438" s="1" t="s">
        <v>108</v>
      </c>
      <c r="B438" s="1" t="s">
        <v>382</v>
      </c>
      <c r="C438" s="1" t="s">
        <v>1068</v>
      </c>
      <c r="D438" s="1" t="s">
        <v>364</v>
      </c>
      <c r="E438" s="1" t="s">
        <v>16</v>
      </c>
      <c r="F438" s="1" t="s">
        <v>338</v>
      </c>
      <c r="G438" s="1" t="s">
        <v>580</v>
      </c>
      <c r="H438" s="1" t="s">
        <v>570</v>
      </c>
      <c r="I438" s="1" t="s">
        <v>597</v>
      </c>
      <c r="J438" s="1" t="s">
        <v>1069</v>
      </c>
      <c r="K438" s="1" t="s">
        <v>573</v>
      </c>
      <c r="L438" s="5">
        <v>400000</v>
      </c>
      <c r="M438" s="1" t="s">
        <v>338</v>
      </c>
    </row>
    <row r="439" spans="1:13" x14ac:dyDescent="0.25">
      <c r="A439" s="1" t="s">
        <v>1590</v>
      </c>
      <c r="B439" s="1" t="s">
        <v>326</v>
      </c>
      <c r="C439" s="1" t="s">
        <v>1652</v>
      </c>
      <c r="D439" s="1" t="s">
        <v>333</v>
      </c>
      <c r="E439" s="1" t="s">
        <v>16</v>
      </c>
      <c r="F439" s="1" t="s">
        <v>1653</v>
      </c>
      <c r="G439" s="1" t="s">
        <v>684</v>
      </c>
      <c r="H439" s="1" t="s">
        <v>16</v>
      </c>
      <c r="I439" s="1" t="s">
        <v>1654</v>
      </c>
      <c r="J439" s="1" t="s">
        <v>1655</v>
      </c>
      <c r="K439" s="1" t="s">
        <v>573</v>
      </c>
      <c r="L439" s="5">
        <v>100000</v>
      </c>
      <c r="M439" s="1" t="s">
        <v>349</v>
      </c>
    </row>
    <row r="440" spans="1:13" x14ac:dyDescent="0.25">
      <c r="A440" s="1" t="s">
        <v>461</v>
      </c>
      <c r="B440" s="1" t="s">
        <v>325</v>
      </c>
      <c r="C440" s="1" t="s">
        <v>1374</v>
      </c>
      <c r="D440" s="1" t="s">
        <v>478</v>
      </c>
      <c r="E440" s="1" t="s">
        <v>336</v>
      </c>
      <c r="F440" s="1" t="s">
        <v>1375</v>
      </c>
      <c r="G440" s="1" t="s">
        <v>656</v>
      </c>
      <c r="H440" s="1" t="s">
        <v>570</v>
      </c>
      <c r="I440" s="1" t="s">
        <v>1376</v>
      </c>
      <c r="J440" s="1" t="s">
        <v>845</v>
      </c>
      <c r="K440" s="1" t="s">
        <v>573</v>
      </c>
      <c r="L440" s="5">
        <v>100000</v>
      </c>
      <c r="M440" s="1" t="s">
        <v>315</v>
      </c>
    </row>
    <row r="441" spans="1:13" x14ac:dyDescent="0.25">
      <c r="A441" s="1" t="s">
        <v>163</v>
      </c>
      <c r="B441" s="1" t="s">
        <v>326</v>
      </c>
      <c r="C441" s="1" t="s">
        <v>1030</v>
      </c>
      <c r="D441" s="1" t="s">
        <v>337</v>
      </c>
      <c r="E441" s="1" t="s">
        <v>16</v>
      </c>
      <c r="F441" s="1" t="s">
        <v>316</v>
      </c>
      <c r="G441" s="1" t="s">
        <v>791</v>
      </c>
      <c r="H441" s="1" t="s">
        <v>570</v>
      </c>
      <c r="I441" s="1" t="s">
        <v>743</v>
      </c>
      <c r="J441" s="1" t="s">
        <v>1031</v>
      </c>
      <c r="K441" s="1" t="s">
        <v>573</v>
      </c>
      <c r="L441" s="5">
        <v>750000</v>
      </c>
      <c r="M441" s="1" t="s">
        <v>341</v>
      </c>
    </row>
    <row r="442" spans="1:13" x14ac:dyDescent="0.25">
      <c r="A442" s="1" t="s">
        <v>159</v>
      </c>
      <c r="B442" s="1" t="s">
        <v>382</v>
      </c>
      <c r="C442" s="1" t="s">
        <v>990</v>
      </c>
      <c r="D442" s="1" t="s">
        <v>337</v>
      </c>
      <c r="E442" s="1" t="s">
        <v>16</v>
      </c>
      <c r="F442" s="1" t="s">
        <v>341</v>
      </c>
      <c r="G442" s="1" t="s">
        <v>585</v>
      </c>
      <c r="H442" s="1" t="s">
        <v>586</v>
      </c>
      <c r="I442" s="1" t="s">
        <v>610</v>
      </c>
      <c r="J442" s="1" t="s">
        <v>733</v>
      </c>
      <c r="K442" s="1" t="s">
        <v>615</v>
      </c>
      <c r="L442" s="5">
        <v>450000</v>
      </c>
      <c r="M442" s="1" t="s">
        <v>341</v>
      </c>
    </row>
    <row r="443" spans="1:13" x14ac:dyDescent="0.25">
      <c r="A443" s="1" t="s">
        <v>1960</v>
      </c>
      <c r="B443" s="1" t="s">
        <v>382</v>
      </c>
      <c r="C443" s="1" t="s">
        <v>1961</v>
      </c>
      <c r="D443" s="1" t="s">
        <v>401</v>
      </c>
      <c r="E443" s="1" t="s">
        <v>16</v>
      </c>
      <c r="F443" s="1" t="s">
        <v>1375</v>
      </c>
      <c r="G443" s="1" t="s">
        <v>575</v>
      </c>
      <c r="H443" s="1" t="s">
        <v>586</v>
      </c>
      <c r="I443" s="1" t="s">
        <v>1962</v>
      </c>
      <c r="J443" s="1" t="s">
        <v>1963</v>
      </c>
      <c r="K443" s="1" t="s">
        <v>615</v>
      </c>
      <c r="L443" s="5">
        <v>300000</v>
      </c>
      <c r="M443" s="1" t="s">
        <v>345</v>
      </c>
    </row>
    <row r="444" spans="1:13" x14ac:dyDescent="0.25">
      <c r="A444" s="1" t="s">
        <v>283</v>
      </c>
      <c r="B444" s="1" t="s">
        <v>325</v>
      </c>
      <c r="C444" s="1" t="s">
        <v>1286</v>
      </c>
      <c r="D444" s="1" t="s">
        <v>364</v>
      </c>
      <c r="E444" s="1" t="s">
        <v>16</v>
      </c>
      <c r="F444" s="1" t="s">
        <v>339</v>
      </c>
      <c r="G444" s="1" t="s">
        <v>702</v>
      </c>
      <c r="H444" s="1" t="s">
        <v>570</v>
      </c>
      <c r="I444" s="1" t="s">
        <v>618</v>
      </c>
      <c r="J444" s="1" t="s">
        <v>826</v>
      </c>
      <c r="K444" s="1" t="s">
        <v>615</v>
      </c>
      <c r="L444" s="5">
        <v>550000</v>
      </c>
      <c r="M444" s="1" t="s">
        <v>339</v>
      </c>
    </row>
    <row r="445" spans="1:13" x14ac:dyDescent="0.25">
      <c r="A445" s="1" t="s">
        <v>440</v>
      </c>
      <c r="B445" s="1" t="s">
        <v>331</v>
      </c>
      <c r="C445" s="1" t="s">
        <v>925</v>
      </c>
      <c r="D445" s="1" t="s">
        <v>388</v>
      </c>
      <c r="E445" s="1" t="s">
        <v>16</v>
      </c>
      <c r="F445" s="1" t="s">
        <v>340</v>
      </c>
      <c r="G445" s="1" t="s">
        <v>609</v>
      </c>
      <c r="H445" s="1" t="s">
        <v>570</v>
      </c>
      <c r="I445" s="1" t="s">
        <v>926</v>
      </c>
      <c r="J445" s="1" t="s">
        <v>361</v>
      </c>
      <c r="K445" s="1" t="s">
        <v>615</v>
      </c>
      <c r="L445" s="5">
        <v>600000</v>
      </c>
      <c r="M445" s="1" t="s">
        <v>332</v>
      </c>
    </row>
    <row r="446" spans="1:13" x14ac:dyDescent="0.25">
      <c r="A446" s="1" t="s">
        <v>440</v>
      </c>
      <c r="B446" s="1" t="s">
        <v>331</v>
      </c>
      <c r="C446" s="1" t="s">
        <v>925</v>
      </c>
      <c r="D446" s="1" t="s">
        <v>388</v>
      </c>
      <c r="E446" s="1" t="s">
        <v>16</v>
      </c>
      <c r="F446" s="1" t="s">
        <v>340</v>
      </c>
      <c r="G446" s="1" t="s">
        <v>609</v>
      </c>
      <c r="H446" s="1" t="s">
        <v>570</v>
      </c>
      <c r="I446" s="1" t="s">
        <v>2160</v>
      </c>
      <c r="J446" s="1" t="s">
        <v>332</v>
      </c>
      <c r="K446" s="1" t="s">
        <v>615</v>
      </c>
      <c r="L446" s="5">
        <v>600000</v>
      </c>
      <c r="M446" s="1" t="s">
        <v>383</v>
      </c>
    </row>
    <row r="447" spans="1:13" x14ac:dyDescent="0.25">
      <c r="A447" s="1" t="s">
        <v>299</v>
      </c>
      <c r="B447" s="1" t="s">
        <v>325</v>
      </c>
      <c r="C447" s="1" t="s">
        <v>1854</v>
      </c>
      <c r="D447" s="1" t="s">
        <v>362</v>
      </c>
      <c r="E447" s="1" t="s">
        <v>16</v>
      </c>
      <c r="F447" s="1" t="s">
        <v>340</v>
      </c>
      <c r="G447" s="1" t="s">
        <v>627</v>
      </c>
      <c r="H447" s="1" t="s">
        <v>570</v>
      </c>
      <c r="I447" s="1" t="s">
        <v>879</v>
      </c>
      <c r="J447" s="1" t="s">
        <v>1712</v>
      </c>
      <c r="K447" s="1" t="s">
        <v>615</v>
      </c>
      <c r="L447" s="5">
        <v>400000</v>
      </c>
      <c r="M447" s="1" t="s">
        <v>340</v>
      </c>
    </row>
    <row r="448" spans="1:13" x14ac:dyDescent="0.25">
      <c r="A448" s="1" t="s">
        <v>144</v>
      </c>
      <c r="B448" s="1" t="s">
        <v>352</v>
      </c>
      <c r="C448" s="1" t="s">
        <v>1183</v>
      </c>
      <c r="D448" s="1" t="s">
        <v>337</v>
      </c>
      <c r="E448" s="1" t="s">
        <v>16</v>
      </c>
      <c r="F448" s="1" t="s">
        <v>345</v>
      </c>
      <c r="G448" s="1" t="s">
        <v>775</v>
      </c>
      <c r="H448" s="1" t="s">
        <v>570</v>
      </c>
      <c r="I448" s="1" t="s">
        <v>913</v>
      </c>
      <c r="J448" s="1" t="s">
        <v>708</v>
      </c>
      <c r="K448" s="1" t="s">
        <v>615</v>
      </c>
      <c r="L448" s="5">
        <v>850000</v>
      </c>
      <c r="M448" s="1" t="s">
        <v>344</v>
      </c>
    </row>
    <row r="449" spans="1:13" x14ac:dyDescent="0.25">
      <c r="A449" s="1" t="s">
        <v>82</v>
      </c>
      <c r="B449" s="1" t="s">
        <v>331</v>
      </c>
      <c r="C449" s="1" t="s">
        <v>1661</v>
      </c>
      <c r="D449" s="1" t="s">
        <v>362</v>
      </c>
      <c r="E449" s="1" t="s">
        <v>16</v>
      </c>
      <c r="F449" s="1" t="s">
        <v>1711</v>
      </c>
      <c r="G449" s="1" t="s">
        <v>702</v>
      </c>
      <c r="H449" s="1" t="s">
        <v>570</v>
      </c>
      <c r="I449" s="1" t="s">
        <v>978</v>
      </c>
      <c r="J449" s="1" t="s">
        <v>1712</v>
      </c>
      <c r="K449" s="1" t="s">
        <v>578</v>
      </c>
      <c r="L449" s="5">
        <v>700000</v>
      </c>
      <c r="M449" s="1" t="s">
        <v>361</v>
      </c>
    </row>
    <row r="450" spans="1:13" x14ac:dyDescent="0.25">
      <c r="A450" s="1" t="s">
        <v>517</v>
      </c>
      <c r="B450" s="1" t="s">
        <v>359</v>
      </c>
      <c r="C450" s="1" t="s">
        <v>2098</v>
      </c>
      <c r="D450" s="1" t="s">
        <v>362</v>
      </c>
      <c r="E450" s="1" t="s">
        <v>16</v>
      </c>
      <c r="F450" s="1" t="s">
        <v>2099</v>
      </c>
      <c r="G450" s="1" t="s">
        <v>678</v>
      </c>
      <c r="H450" s="1" t="s">
        <v>586</v>
      </c>
      <c r="I450" s="1" t="s">
        <v>874</v>
      </c>
      <c r="J450" s="1" t="s">
        <v>2100</v>
      </c>
      <c r="K450" s="1" t="s">
        <v>16</v>
      </c>
      <c r="L450" s="5">
        <v>100000</v>
      </c>
      <c r="M450" s="1" t="s">
        <v>316</v>
      </c>
    </row>
    <row r="451" spans="1:13" x14ac:dyDescent="0.25">
      <c r="A451" s="1" t="s">
        <v>258</v>
      </c>
      <c r="B451" s="1" t="s">
        <v>357</v>
      </c>
      <c r="C451" s="1" t="s">
        <v>2147</v>
      </c>
      <c r="D451" s="1" t="s">
        <v>362</v>
      </c>
      <c r="E451" s="1" t="s">
        <v>16</v>
      </c>
      <c r="F451" s="1" t="s">
        <v>1336</v>
      </c>
      <c r="G451" s="1" t="s">
        <v>656</v>
      </c>
      <c r="H451" s="1" t="s">
        <v>586</v>
      </c>
      <c r="I451" s="1" t="s">
        <v>1310</v>
      </c>
      <c r="J451" s="1" t="s">
        <v>2148</v>
      </c>
      <c r="K451" s="1" t="s">
        <v>573</v>
      </c>
      <c r="L451" s="5">
        <v>500000</v>
      </c>
      <c r="M451" s="1" t="s">
        <v>383</v>
      </c>
    </row>
    <row r="452" spans="1:13" x14ac:dyDescent="0.25">
      <c r="A452" s="1" t="s">
        <v>6</v>
      </c>
      <c r="B452" s="1" t="s">
        <v>357</v>
      </c>
      <c r="C452" s="1" t="s">
        <v>2056</v>
      </c>
      <c r="D452" s="1" t="s">
        <v>362</v>
      </c>
      <c r="E452" s="1" t="s">
        <v>16</v>
      </c>
      <c r="F452" s="1" t="s">
        <v>2057</v>
      </c>
      <c r="G452" s="1" t="s">
        <v>660</v>
      </c>
      <c r="H452" s="1" t="s">
        <v>586</v>
      </c>
      <c r="I452" s="1" t="s">
        <v>1159</v>
      </c>
      <c r="J452" s="1" t="s">
        <v>855</v>
      </c>
      <c r="K452" s="1" t="s">
        <v>573</v>
      </c>
      <c r="L452" s="5">
        <v>300000</v>
      </c>
      <c r="M452" s="1" t="s">
        <v>316</v>
      </c>
    </row>
    <row r="453" spans="1:13" x14ac:dyDescent="0.25">
      <c r="A453" s="1" t="s">
        <v>32</v>
      </c>
      <c r="B453" s="1" t="s">
        <v>382</v>
      </c>
      <c r="C453" s="1" t="s">
        <v>1511</v>
      </c>
      <c r="D453" s="1" t="s">
        <v>364</v>
      </c>
      <c r="E453" s="1" t="s">
        <v>16</v>
      </c>
      <c r="F453" s="1" t="s">
        <v>1512</v>
      </c>
      <c r="G453" s="1" t="s">
        <v>569</v>
      </c>
      <c r="H453" s="1" t="s">
        <v>570</v>
      </c>
      <c r="I453" s="1" t="s">
        <v>1513</v>
      </c>
      <c r="J453" s="1" t="s">
        <v>1514</v>
      </c>
      <c r="K453" s="1" t="s">
        <v>588</v>
      </c>
      <c r="L453" s="5">
        <v>800000</v>
      </c>
      <c r="M453" s="1" t="s">
        <v>23</v>
      </c>
    </row>
    <row r="454" spans="1:13" x14ac:dyDescent="0.25">
      <c r="A454" s="1" t="s">
        <v>286</v>
      </c>
      <c r="B454" s="1" t="s">
        <v>357</v>
      </c>
      <c r="C454" s="1" t="s">
        <v>1804</v>
      </c>
      <c r="D454" s="1" t="s">
        <v>337</v>
      </c>
      <c r="E454" s="1" t="s">
        <v>16</v>
      </c>
      <c r="F454" s="1" t="s">
        <v>340</v>
      </c>
      <c r="G454" s="1" t="s">
        <v>609</v>
      </c>
      <c r="H454" s="1" t="s">
        <v>586</v>
      </c>
      <c r="I454" s="1" t="s">
        <v>642</v>
      </c>
      <c r="J454" s="1" t="s">
        <v>708</v>
      </c>
      <c r="K454" s="1" t="s">
        <v>573</v>
      </c>
      <c r="L454" s="5">
        <v>500000</v>
      </c>
      <c r="M454" s="1" t="s">
        <v>340</v>
      </c>
    </row>
    <row r="455" spans="1:13" x14ac:dyDescent="0.25">
      <c r="A455" s="1" t="s">
        <v>1291</v>
      </c>
      <c r="B455" s="1" t="s">
        <v>382</v>
      </c>
      <c r="C455" s="1" t="s">
        <v>1312</v>
      </c>
      <c r="D455" s="1" t="s">
        <v>337</v>
      </c>
      <c r="E455" s="1" t="s">
        <v>16</v>
      </c>
      <c r="F455" s="1" t="s">
        <v>841</v>
      </c>
      <c r="G455" s="1" t="s">
        <v>580</v>
      </c>
      <c r="H455" s="1" t="s">
        <v>605</v>
      </c>
      <c r="I455" s="1" t="s">
        <v>1313</v>
      </c>
      <c r="J455" s="1" t="s">
        <v>319</v>
      </c>
      <c r="K455" s="1" t="s">
        <v>573</v>
      </c>
      <c r="L455" s="5">
        <v>100000</v>
      </c>
      <c r="M455" s="1" t="s">
        <v>315</v>
      </c>
    </row>
    <row r="456" spans="1:13" x14ac:dyDescent="0.25">
      <c r="A456" s="1" t="s">
        <v>62</v>
      </c>
      <c r="B456" s="1" t="s">
        <v>325</v>
      </c>
      <c r="C456" s="1" t="s">
        <v>1460</v>
      </c>
      <c r="D456" s="1" t="s">
        <v>337</v>
      </c>
      <c r="E456" s="1" t="s">
        <v>16</v>
      </c>
      <c r="F456" s="1" t="s">
        <v>317</v>
      </c>
      <c r="G456" s="1" t="s">
        <v>617</v>
      </c>
      <c r="H456" s="1" t="s">
        <v>586</v>
      </c>
      <c r="I456" s="1" t="s">
        <v>618</v>
      </c>
      <c r="J456" s="1" t="s">
        <v>318</v>
      </c>
      <c r="K456" s="1" t="s">
        <v>573</v>
      </c>
      <c r="L456" s="5">
        <v>250000</v>
      </c>
      <c r="M456" s="1" t="s">
        <v>317</v>
      </c>
    </row>
    <row r="457" spans="1:13" x14ac:dyDescent="0.25">
      <c r="A457" s="1" t="s">
        <v>175</v>
      </c>
      <c r="B457" s="1" t="s">
        <v>382</v>
      </c>
      <c r="C457" s="1" t="s">
        <v>1308</v>
      </c>
      <c r="D457" s="1" t="s">
        <v>337</v>
      </c>
      <c r="E457" s="1" t="s">
        <v>16</v>
      </c>
      <c r="F457" s="1" t="s">
        <v>315</v>
      </c>
      <c r="G457" s="1" t="s">
        <v>609</v>
      </c>
      <c r="H457" s="1" t="s">
        <v>570</v>
      </c>
      <c r="I457" s="1" t="s">
        <v>597</v>
      </c>
      <c r="J457" s="1" t="s">
        <v>841</v>
      </c>
      <c r="K457" s="1" t="s">
        <v>651</v>
      </c>
      <c r="L457" s="5">
        <v>650000</v>
      </c>
      <c r="M457" s="1" t="s">
        <v>315</v>
      </c>
    </row>
    <row r="458" spans="1:13" x14ac:dyDescent="0.25">
      <c r="A458" s="1" t="s">
        <v>477</v>
      </c>
      <c r="B458" s="1" t="s">
        <v>324</v>
      </c>
      <c r="C458" s="1" t="s">
        <v>1637</v>
      </c>
      <c r="D458" s="1" t="s">
        <v>337</v>
      </c>
      <c r="E458" s="1" t="s">
        <v>16</v>
      </c>
      <c r="F458" s="1" t="s">
        <v>681</v>
      </c>
      <c r="G458" s="1" t="s">
        <v>612</v>
      </c>
      <c r="H458" s="1" t="s">
        <v>16</v>
      </c>
      <c r="I458" s="1" t="s">
        <v>1638</v>
      </c>
      <c r="J458" s="1" t="s">
        <v>836</v>
      </c>
      <c r="K458" s="1" t="s">
        <v>573</v>
      </c>
      <c r="L458" s="5">
        <v>250000</v>
      </c>
      <c r="M458" s="1" t="s">
        <v>349</v>
      </c>
    </row>
    <row r="459" spans="1:13" x14ac:dyDescent="0.25">
      <c r="A459" s="1" t="s">
        <v>2275</v>
      </c>
      <c r="B459" s="1" t="s">
        <v>325</v>
      </c>
      <c r="C459" s="1" t="s">
        <v>2276</v>
      </c>
      <c r="D459" s="1" t="s">
        <v>337</v>
      </c>
      <c r="E459" s="1" t="s">
        <v>16</v>
      </c>
      <c r="F459" s="1" t="s">
        <v>348</v>
      </c>
      <c r="G459" s="1" t="s">
        <v>660</v>
      </c>
      <c r="H459" s="1" t="s">
        <v>16</v>
      </c>
      <c r="I459" s="1" t="s">
        <v>1343</v>
      </c>
      <c r="J459" s="1" t="s">
        <v>2209</v>
      </c>
      <c r="K459" s="1" t="s">
        <v>615</v>
      </c>
      <c r="L459" s="5">
        <v>25000</v>
      </c>
      <c r="M459" s="1" t="s">
        <v>348</v>
      </c>
    </row>
    <row r="460" spans="1:13" x14ac:dyDescent="0.25">
      <c r="A460" s="1" t="s">
        <v>630</v>
      </c>
      <c r="B460" s="1" t="s">
        <v>382</v>
      </c>
      <c r="C460" s="1" t="s">
        <v>631</v>
      </c>
      <c r="D460" s="1" t="s">
        <v>337</v>
      </c>
      <c r="E460" s="1" t="s">
        <v>16</v>
      </c>
      <c r="F460" s="1" t="s">
        <v>632</v>
      </c>
      <c r="G460" s="1" t="s">
        <v>633</v>
      </c>
      <c r="H460" s="1" t="s">
        <v>586</v>
      </c>
      <c r="I460" s="1" t="s">
        <v>634</v>
      </c>
      <c r="J460" s="1" t="s">
        <v>577</v>
      </c>
      <c r="K460" s="1" t="s">
        <v>573</v>
      </c>
      <c r="L460" s="5">
        <v>25000</v>
      </c>
      <c r="M460" s="1" t="s">
        <v>318</v>
      </c>
    </row>
    <row r="461" spans="1:13" x14ac:dyDescent="0.25">
      <c r="A461" s="1" t="s">
        <v>630</v>
      </c>
      <c r="B461" s="1" t="s">
        <v>382</v>
      </c>
      <c r="C461" s="1" t="s">
        <v>631</v>
      </c>
      <c r="D461" s="1" t="s">
        <v>337</v>
      </c>
      <c r="E461" s="1" t="s">
        <v>16</v>
      </c>
      <c r="F461" s="1" t="s">
        <v>632</v>
      </c>
      <c r="G461" s="1" t="s">
        <v>633</v>
      </c>
      <c r="H461" s="1" t="s">
        <v>586</v>
      </c>
      <c r="I461" s="1" t="s">
        <v>1320</v>
      </c>
      <c r="J461" s="1" t="s">
        <v>577</v>
      </c>
      <c r="K461" s="1" t="s">
        <v>573</v>
      </c>
      <c r="L461" s="5">
        <v>25000</v>
      </c>
      <c r="M461" s="1" t="s">
        <v>315</v>
      </c>
    </row>
    <row r="462" spans="1:13" x14ac:dyDescent="0.25">
      <c r="A462" s="1" t="s">
        <v>5</v>
      </c>
      <c r="B462" s="1" t="s">
        <v>376</v>
      </c>
      <c r="C462" s="1" t="s">
        <v>2061</v>
      </c>
      <c r="D462" s="1" t="s">
        <v>337</v>
      </c>
      <c r="E462" s="1" t="s">
        <v>16</v>
      </c>
      <c r="F462" s="1" t="s">
        <v>340</v>
      </c>
      <c r="G462" s="1" t="s">
        <v>702</v>
      </c>
      <c r="H462" s="1" t="s">
        <v>570</v>
      </c>
      <c r="I462" s="1" t="s">
        <v>597</v>
      </c>
      <c r="J462" s="1" t="s">
        <v>681</v>
      </c>
      <c r="K462" s="1" t="s">
        <v>588</v>
      </c>
      <c r="L462" s="5">
        <v>300000</v>
      </c>
      <c r="M462" s="1" t="s">
        <v>316</v>
      </c>
    </row>
    <row r="463" spans="1:13" x14ac:dyDescent="0.25">
      <c r="A463" s="1" t="s">
        <v>458</v>
      </c>
      <c r="B463" s="1" t="s">
        <v>382</v>
      </c>
      <c r="C463" s="1" t="s">
        <v>622</v>
      </c>
      <c r="D463" s="1" t="s">
        <v>337</v>
      </c>
      <c r="E463" s="1" t="s">
        <v>16</v>
      </c>
      <c r="F463" s="1" t="s">
        <v>623</v>
      </c>
      <c r="G463" s="1" t="s">
        <v>617</v>
      </c>
      <c r="H463" s="1" t="s">
        <v>586</v>
      </c>
      <c r="I463" s="1" t="s">
        <v>624</v>
      </c>
      <c r="J463" s="1" t="s">
        <v>577</v>
      </c>
      <c r="K463" s="1" t="s">
        <v>615</v>
      </c>
      <c r="L463" s="5">
        <v>200000</v>
      </c>
      <c r="M463" s="1" t="s">
        <v>318</v>
      </c>
    </row>
    <row r="464" spans="1:13" x14ac:dyDescent="0.25">
      <c r="A464" s="1" t="s">
        <v>1827</v>
      </c>
      <c r="B464" s="1" t="s">
        <v>331</v>
      </c>
      <c r="C464" s="1" t="s">
        <v>1828</v>
      </c>
      <c r="D464" s="1" t="s">
        <v>337</v>
      </c>
      <c r="E464" s="1" t="s">
        <v>16</v>
      </c>
      <c r="F464" s="1" t="s">
        <v>1282</v>
      </c>
      <c r="G464" s="1" t="s">
        <v>675</v>
      </c>
      <c r="H464" s="1" t="s">
        <v>16</v>
      </c>
      <c r="I464" s="1" t="s">
        <v>782</v>
      </c>
      <c r="J464" s="1" t="s">
        <v>1282</v>
      </c>
      <c r="K464" s="1" t="s">
        <v>573</v>
      </c>
      <c r="L464" s="5" t="s">
        <v>16</v>
      </c>
      <c r="M464" s="1" t="s">
        <v>340</v>
      </c>
    </row>
    <row r="465" spans="1:13" x14ac:dyDescent="0.25">
      <c r="A465" s="1" t="s">
        <v>171</v>
      </c>
      <c r="B465" s="1" t="s">
        <v>0</v>
      </c>
      <c r="C465" s="1" t="s">
        <v>579</v>
      </c>
      <c r="D465" s="1" t="s">
        <v>337</v>
      </c>
      <c r="E465" s="1" t="s">
        <v>16</v>
      </c>
      <c r="F465" s="1" t="s">
        <v>319</v>
      </c>
      <c r="G465" s="1" t="s">
        <v>580</v>
      </c>
      <c r="H465" s="1" t="s">
        <v>16</v>
      </c>
      <c r="I465" s="1" t="s">
        <v>581</v>
      </c>
      <c r="J465" s="1" t="s">
        <v>577</v>
      </c>
      <c r="K465" s="1" t="s">
        <v>578</v>
      </c>
      <c r="L465" s="5">
        <v>300000</v>
      </c>
      <c r="M465" s="1" t="s">
        <v>318</v>
      </c>
    </row>
    <row r="466" spans="1:13" x14ac:dyDescent="0.25">
      <c r="A466" s="1" t="s">
        <v>171</v>
      </c>
      <c r="B466" s="1" t="s">
        <v>0</v>
      </c>
      <c r="C466" s="1" t="s">
        <v>579</v>
      </c>
      <c r="D466" s="1" t="s">
        <v>337</v>
      </c>
      <c r="E466" s="1" t="s">
        <v>16</v>
      </c>
      <c r="F466" s="1" t="s">
        <v>319</v>
      </c>
      <c r="G466" s="1" t="s">
        <v>580</v>
      </c>
      <c r="H466" s="1" t="s">
        <v>16</v>
      </c>
      <c r="I466" s="1" t="s">
        <v>1303</v>
      </c>
      <c r="J466" s="1" t="s">
        <v>318</v>
      </c>
      <c r="K466" s="1" t="s">
        <v>578</v>
      </c>
      <c r="L466" s="5">
        <v>300000</v>
      </c>
      <c r="M466" s="1" t="s">
        <v>315</v>
      </c>
    </row>
    <row r="467" spans="1:13" x14ac:dyDescent="0.25">
      <c r="A467" s="1" t="s">
        <v>1764</v>
      </c>
      <c r="B467" s="1" t="s">
        <v>325</v>
      </c>
      <c r="C467" s="1" t="s">
        <v>1765</v>
      </c>
      <c r="D467" s="1" t="s">
        <v>337</v>
      </c>
      <c r="E467" s="1" t="s">
        <v>16</v>
      </c>
      <c r="F467" s="1" t="s">
        <v>1766</v>
      </c>
      <c r="G467" s="1" t="s">
        <v>596</v>
      </c>
      <c r="H467" s="1" t="s">
        <v>570</v>
      </c>
      <c r="I467" s="1" t="s">
        <v>1767</v>
      </c>
      <c r="J467" s="1" t="s">
        <v>1672</v>
      </c>
      <c r="K467" s="1" t="s">
        <v>16</v>
      </c>
      <c r="L467" s="5">
        <v>25000</v>
      </c>
      <c r="M467" s="1" t="s">
        <v>361</v>
      </c>
    </row>
    <row r="468" spans="1:13" x14ac:dyDescent="0.25">
      <c r="A468" s="1" t="s">
        <v>249</v>
      </c>
      <c r="B468" s="1" t="s">
        <v>331</v>
      </c>
      <c r="C468" s="1" t="s">
        <v>1614</v>
      </c>
      <c r="D468" s="1" t="s">
        <v>337</v>
      </c>
      <c r="E468" s="1" t="s">
        <v>16</v>
      </c>
      <c r="F468" s="1" t="s">
        <v>349</v>
      </c>
      <c r="G468" s="1" t="s">
        <v>609</v>
      </c>
      <c r="H468" s="1" t="s">
        <v>570</v>
      </c>
      <c r="I468" s="1" t="s">
        <v>1615</v>
      </c>
      <c r="J468" s="1" t="s">
        <v>316</v>
      </c>
      <c r="K468" s="1" t="s">
        <v>615</v>
      </c>
      <c r="L468" s="5">
        <v>350000</v>
      </c>
      <c r="M468" s="1" t="s">
        <v>349</v>
      </c>
    </row>
    <row r="469" spans="1:13" x14ac:dyDescent="0.25">
      <c r="A469" s="1" t="s">
        <v>501</v>
      </c>
      <c r="B469" s="1" t="s">
        <v>325</v>
      </c>
      <c r="C469" s="1" t="s">
        <v>1661</v>
      </c>
      <c r="D469" s="1" t="s">
        <v>337</v>
      </c>
      <c r="E469" s="1" t="s">
        <v>16</v>
      </c>
      <c r="F469" s="1" t="s">
        <v>1281</v>
      </c>
      <c r="G469" s="1" t="s">
        <v>646</v>
      </c>
      <c r="H469" s="1" t="s">
        <v>16</v>
      </c>
      <c r="I469" s="1" t="s">
        <v>647</v>
      </c>
      <c r="J469" s="1" t="s">
        <v>964</v>
      </c>
      <c r="K469" s="1" t="s">
        <v>16</v>
      </c>
      <c r="L469" s="5">
        <v>150000</v>
      </c>
      <c r="M469" s="1" t="s">
        <v>349</v>
      </c>
    </row>
    <row r="470" spans="1:13" x14ac:dyDescent="0.25">
      <c r="A470" s="1" t="s">
        <v>455</v>
      </c>
      <c r="B470" s="1" t="s">
        <v>330</v>
      </c>
      <c r="C470" s="1" t="s">
        <v>1018</v>
      </c>
      <c r="D470" s="1" t="s">
        <v>337</v>
      </c>
      <c r="E470" s="1" t="s">
        <v>16</v>
      </c>
      <c r="F470" s="1" t="s">
        <v>341</v>
      </c>
      <c r="G470" s="1" t="s">
        <v>775</v>
      </c>
      <c r="H470" s="1" t="s">
        <v>570</v>
      </c>
      <c r="I470" s="1" t="s">
        <v>772</v>
      </c>
      <c r="J470" s="1" t="s">
        <v>985</v>
      </c>
      <c r="K470" s="1" t="s">
        <v>578</v>
      </c>
      <c r="L470" s="5">
        <v>800000</v>
      </c>
      <c r="M470" s="1" t="s">
        <v>341</v>
      </c>
    </row>
    <row r="471" spans="1:13" x14ac:dyDescent="0.25">
      <c r="A471" s="1" t="s">
        <v>2120</v>
      </c>
      <c r="B471" s="1" t="s">
        <v>0</v>
      </c>
      <c r="C471" s="1" t="s">
        <v>2121</v>
      </c>
      <c r="D471" s="1" t="s">
        <v>337</v>
      </c>
      <c r="E471" s="1" t="s">
        <v>16</v>
      </c>
      <c r="F471" s="1" t="s">
        <v>2122</v>
      </c>
      <c r="G471" s="1" t="s">
        <v>575</v>
      </c>
      <c r="H471" s="1" t="s">
        <v>570</v>
      </c>
      <c r="I471" s="1" t="s">
        <v>610</v>
      </c>
      <c r="J471" s="1" t="s">
        <v>334</v>
      </c>
      <c r="K471" s="1" t="s">
        <v>573</v>
      </c>
      <c r="L471" s="5">
        <v>900000</v>
      </c>
      <c r="M471" s="1" t="s">
        <v>383</v>
      </c>
    </row>
    <row r="472" spans="1:13" x14ac:dyDescent="0.25">
      <c r="A472" s="1" t="s">
        <v>212</v>
      </c>
      <c r="B472" s="1" t="s">
        <v>324</v>
      </c>
      <c r="C472" s="1" t="s">
        <v>1709</v>
      </c>
      <c r="D472" s="1" t="s">
        <v>337</v>
      </c>
      <c r="E472" s="1" t="s">
        <v>16</v>
      </c>
      <c r="F472" s="1" t="s">
        <v>319</v>
      </c>
      <c r="G472" s="1" t="s">
        <v>702</v>
      </c>
      <c r="H472" s="1" t="s">
        <v>570</v>
      </c>
      <c r="I472" s="1" t="s">
        <v>1919</v>
      </c>
      <c r="J472" s="1" t="s">
        <v>344</v>
      </c>
      <c r="K472" s="1" t="s">
        <v>573</v>
      </c>
      <c r="L472" s="5">
        <v>600000</v>
      </c>
      <c r="M472" s="1" t="s">
        <v>319</v>
      </c>
    </row>
    <row r="473" spans="1:13" x14ac:dyDescent="0.25">
      <c r="A473" s="1" t="s">
        <v>213</v>
      </c>
      <c r="B473" s="1" t="s">
        <v>382</v>
      </c>
      <c r="C473" s="1" t="s">
        <v>1890</v>
      </c>
      <c r="D473" s="1" t="s">
        <v>337</v>
      </c>
      <c r="E473" s="1" t="s">
        <v>16</v>
      </c>
      <c r="F473" s="1" t="s">
        <v>319</v>
      </c>
      <c r="G473" s="1" t="s">
        <v>591</v>
      </c>
      <c r="H473" s="1" t="s">
        <v>570</v>
      </c>
      <c r="I473" s="1" t="s">
        <v>1617</v>
      </c>
      <c r="J473" s="1" t="s">
        <v>317</v>
      </c>
      <c r="K473" s="1" t="s">
        <v>573</v>
      </c>
      <c r="L473" s="5">
        <v>400000</v>
      </c>
      <c r="M473" s="1" t="s">
        <v>319</v>
      </c>
    </row>
    <row r="474" spans="1:13" x14ac:dyDescent="0.25">
      <c r="A474" s="1" t="s">
        <v>492</v>
      </c>
      <c r="B474" s="1" t="s">
        <v>326</v>
      </c>
      <c r="C474" s="1" t="s">
        <v>2179</v>
      </c>
      <c r="D474" s="1" t="s">
        <v>337</v>
      </c>
      <c r="E474" s="1" t="s">
        <v>16</v>
      </c>
      <c r="F474" s="1" t="s">
        <v>383</v>
      </c>
      <c r="G474" s="1" t="s">
        <v>702</v>
      </c>
      <c r="H474" s="1" t="s">
        <v>570</v>
      </c>
      <c r="I474" s="1" t="s">
        <v>618</v>
      </c>
      <c r="J474" s="1" t="s">
        <v>1107</v>
      </c>
      <c r="K474" s="1" t="s">
        <v>578</v>
      </c>
      <c r="L474" s="5">
        <v>250000</v>
      </c>
      <c r="M474" s="1" t="s">
        <v>383</v>
      </c>
    </row>
    <row r="475" spans="1:13" x14ac:dyDescent="0.25">
      <c r="A475" s="1" t="s">
        <v>1516</v>
      </c>
      <c r="B475" s="1" t="s">
        <v>382</v>
      </c>
      <c r="C475" s="1" t="s">
        <v>1517</v>
      </c>
      <c r="D475" s="1" t="s">
        <v>337</v>
      </c>
      <c r="E475" s="1" t="s">
        <v>16</v>
      </c>
      <c r="F475" s="1" t="s">
        <v>1302</v>
      </c>
      <c r="G475" s="1" t="s">
        <v>627</v>
      </c>
      <c r="H475" s="1" t="s">
        <v>16</v>
      </c>
      <c r="I475" s="1" t="s">
        <v>1518</v>
      </c>
      <c r="J475" s="1" t="s">
        <v>1302</v>
      </c>
      <c r="K475" s="1" t="s">
        <v>573</v>
      </c>
      <c r="L475" s="5">
        <v>50000</v>
      </c>
      <c r="M475" s="1" t="s">
        <v>23</v>
      </c>
    </row>
    <row r="476" spans="1:13" x14ac:dyDescent="0.25">
      <c r="A476" s="1" t="s">
        <v>372</v>
      </c>
      <c r="B476" s="1" t="s">
        <v>324</v>
      </c>
      <c r="C476" s="1" t="s">
        <v>2007</v>
      </c>
      <c r="D476" s="1" t="s">
        <v>337</v>
      </c>
      <c r="E476" s="1" t="s">
        <v>16</v>
      </c>
      <c r="F476" s="1" t="s">
        <v>2008</v>
      </c>
      <c r="G476" s="1" t="s">
        <v>617</v>
      </c>
      <c r="H476" s="1" t="s">
        <v>570</v>
      </c>
      <c r="I476" s="1" t="s">
        <v>592</v>
      </c>
      <c r="J476" s="1" t="s">
        <v>318</v>
      </c>
      <c r="K476" s="1" t="s">
        <v>573</v>
      </c>
      <c r="L476" s="5">
        <v>1400000</v>
      </c>
      <c r="M476" s="1" t="s">
        <v>345</v>
      </c>
    </row>
    <row r="477" spans="1:13" x14ac:dyDescent="0.25">
      <c r="A477" s="1" t="s">
        <v>183</v>
      </c>
      <c r="B477" s="1" t="s">
        <v>324</v>
      </c>
      <c r="C477" s="1" t="s">
        <v>1344</v>
      </c>
      <c r="D477" s="1" t="s">
        <v>337</v>
      </c>
      <c r="E477" s="1" t="s">
        <v>16</v>
      </c>
      <c r="F477" s="1" t="s">
        <v>681</v>
      </c>
      <c r="G477" s="1" t="s">
        <v>609</v>
      </c>
      <c r="H477" s="1" t="s">
        <v>570</v>
      </c>
      <c r="I477" s="1" t="s">
        <v>1345</v>
      </c>
      <c r="J477" s="1" t="s">
        <v>345</v>
      </c>
      <c r="K477" s="1" t="s">
        <v>615</v>
      </c>
      <c r="L477" s="5">
        <v>300000</v>
      </c>
      <c r="M477" s="1" t="s">
        <v>315</v>
      </c>
    </row>
    <row r="478" spans="1:13" x14ac:dyDescent="0.25">
      <c r="A478" s="1" t="s">
        <v>101</v>
      </c>
      <c r="B478" s="1" t="s">
        <v>382</v>
      </c>
      <c r="C478" s="1" t="s">
        <v>760</v>
      </c>
      <c r="D478" s="1" t="s">
        <v>337</v>
      </c>
      <c r="E478" s="1" t="s">
        <v>16</v>
      </c>
      <c r="F478" s="1" t="s">
        <v>361</v>
      </c>
      <c r="G478" s="1" t="s">
        <v>675</v>
      </c>
      <c r="H478" s="1" t="s">
        <v>570</v>
      </c>
      <c r="I478" s="1" t="s">
        <v>749</v>
      </c>
      <c r="J478" s="1" t="s">
        <v>829</v>
      </c>
      <c r="K478" s="1" t="s">
        <v>615</v>
      </c>
      <c r="L478" s="5">
        <v>100000</v>
      </c>
      <c r="M478" s="1" t="s">
        <v>334</v>
      </c>
    </row>
    <row r="479" spans="1:13" x14ac:dyDescent="0.25">
      <c r="A479" s="1" t="s">
        <v>1589</v>
      </c>
      <c r="B479" s="1" t="s">
        <v>324</v>
      </c>
      <c r="C479" s="1" t="s">
        <v>1644</v>
      </c>
      <c r="D479" s="1" t="s">
        <v>337</v>
      </c>
      <c r="E479" s="1" t="s">
        <v>16</v>
      </c>
      <c r="F479" s="1" t="s">
        <v>1645</v>
      </c>
      <c r="G479" s="1" t="s">
        <v>612</v>
      </c>
      <c r="H479" s="1" t="s">
        <v>570</v>
      </c>
      <c r="I479" s="1" t="s">
        <v>772</v>
      </c>
      <c r="J479" s="1" t="s">
        <v>338</v>
      </c>
      <c r="K479" s="1" t="s">
        <v>16</v>
      </c>
      <c r="L479" s="5">
        <v>100000</v>
      </c>
      <c r="M479" s="1" t="s">
        <v>349</v>
      </c>
    </row>
    <row r="480" spans="1:13" x14ac:dyDescent="0.25">
      <c r="A480" s="1" t="s">
        <v>280</v>
      </c>
      <c r="B480" s="1" t="s">
        <v>324</v>
      </c>
      <c r="C480" s="1" t="s">
        <v>1262</v>
      </c>
      <c r="D480" s="1" t="s">
        <v>337</v>
      </c>
      <c r="E480" s="1" t="s">
        <v>16</v>
      </c>
      <c r="F480" s="1" t="s">
        <v>339</v>
      </c>
      <c r="G480" s="1" t="s">
        <v>641</v>
      </c>
      <c r="H480" s="1" t="s">
        <v>570</v>
      </c>
      <c r="I480" s="1" t="s">
        <v>610</v>
      </c>
      <c r="J480" s="1" t="s">
        <v>318</v>
      </c>
      <c r="K480" s="1" t="s">
        <v>615</v>
      </c>
      <c r="L480" s="5">
        <v>1000000</v>
      </c>
      <c r="M480" s="1" t="s">
        <v>339</v>
      </c>
    </row>
    <row r="481" spans="1:13" x14ac:dyDescent="0.25">
      <c r="A481" s="1" t="s">
        <v>200</v>
      </c>
      <c r="B481" s="1" t="s">
        <v>324</v>
      </c>
      <c r="C481" s="1" t="s">
        <v>953</v>
      </c>
      <c r="D481" s="1" t="s">
        <v>337</v>
      </c>
      <c r="E481" s="1" t="s">
        <v>16</v>
      </c>
      <c r="F481" s="1" t="s">
        <v>332</v>
      </c>
      <c r="G481" s="1" t="s">
        <v>678</v>
      </c>
      <c r="H481" s="1" t="s">
        <v>570</v>
      </c>
      <c r="I481" s="1" t="s">
        <v>891</v>
      </c>
      <c r="J481" s="1" t="s">
        <v>23</v>
      </c>
      <c r="K481" s="1" t="s">
        <v>651</v>
      </c>
      <c r="L481" s="5">
        <v>900000</v>
      </c>
      <c r="M481" s="1" t="s">
        <v>332</v>
      </c>
    </row>
    <row r="482" spans="1:13" x14ac:dyDescent="0.25">
      <c r="A482" s="1" t="s">
        <v>132</v>
      </c>
      <c r="B482" s="1" t="s">
        <v>382</v>
      </c>
      <c r="C482" s="1" t="s">
        <v>607</v>
      </c>
      <c r="D482" s="1" t="s">
        <v>337</v>
      </c>
      <c r="E482" s="1" t="s">
        <v>16</v>
      </c>
      <c r="F482" s="1" t="s">
        <v>608</v>
      </c>
      <c r="G482" s="1" t="s">
        <v>609</v>
      </c>
      <c r="H482" s="1" t="s">
        <v>570</v>
      </c>
      <c r="I482" s="1" t="s">
        <v>610</v>
      </c>
      <c r="J482" s="1" t="s">
        <v>317</v>
      </c>
      <c r="K482" s="1" t="s">
        <v>588</v>
      </c>
      <c r="L482" s="5">
        <v>1300000</v>
      </c>
      <c r="M482" s="1" t="s">
        <v>318</v>
      </c>
    </row>
    <row r="483" spans="1:13" x14ac:dyDescent="0.25">
      <c r="A483" s="1" t="s">
        <v>152</v>
      </c>
      <c r="B483" s="1" t="s">
        <v>359</v>
      </c>
      <c r="C483" s="1" t="s">
        <v>1184</v>
      </c>
      <c r="D483" s="1" t="s">
        <v>337</v>
      </c>
      <c r="E483" s="1" t="s">
        <v>16</v>
      </c>
      <c r="F483" s="1" t="s">
        <v>915</v>
      </c>
      <c r="G483" s="1" t="s">
        <v>702</v>
      </c>
      <c r="H483" s="1" t="s">
        <v>586</v>
      </c>
      <c r="I483" s="1" t="s">
        <v>754</v>
      </c>
      <c r="J483" s="1" t="s">
        <v>708</v>
      </c>
      <c r="K483" s="1" t="s">
        <v>573</v>
      </c>
      <c r="L483" s="5">
        <v>100000</v>
      </c>
      <c r="M483" s="1" t="s">
        <v>344</v>
      </c>
    </row>
    <row r="484" spans="1:13" x14ac:dyDescent="0.25">
      <c r="A484" s="1" t="s">
        <v>1871</v>
      </c>
      <c r="B484" s="1" t="s">
        <v>352</v>
      </c>
      <c r="C484" s="1" t="s">
        <v>1911</v>
      </c>
      <c r="D484" s="1" t="s">
        <v>337</v>
      </c>
      <c r="E484" s="1" t="s">
        <v>16</v>
      </c>
      <c r="F484" s="1" t="s">
        <v>1912</v>
      </c>
      <c r="G484" s="1" t="s">
        <v>709</v>
      </c>
      <c r="H484" s="1" t="s">
        <v>570</v>
      </c>
      <c r="I484" s="1" t="s">
        <v>1663</v>
      </c>
      <c r="J484" s="1" t="s">
        <v>361</v>
      </c>
      <c r="K484" s="1" t="s">
        <v>16</v>
      </c>
      <c r="L484" s="5">
        <v>50000</v>
      </c>
      <c r="M484" s="1" t="s">
        <v>319</v>
      </c>
    </row>
    <row r="485" spans="1:13" x14ac:dyDescent="0.25">
      <c r="A485" s="1" t="s">
        <v>1419</v>
      </c>
      <c r="B485" s="1" t="s">
        <v>352</v>
      </c>
      <c r="C485" s="1" t="s">
        <v>1420</v>
      </c>
      <c r="D485" s="1" t="s">
        <v>337</v>
      </c>
      <c r="E485" s="1" t="s">
        <v>16</v>
      </c>
      <c r="F485" s="1" t="s">
        <v>595</v>
      </c>
      <c r="G485" s="1" t="s">
        <v>16</v>
      </c>
      <c r="H485" s="1" t="s">
        <v>570</v>
      </c>
      <c r="I485" s="1" t="s">
        <v>1421</v>
      </c>
      <c r="J485" s="1" t="s">
        <v>1422</v>
      </c>
      <c r="K485" s="1" t="s">
        <v>573</v>
      </c>
      <c r="L485" s="5">
        <v>25000</v>
      </c>
      <c r="M485" s="1" t="s">
        <v>317</v>
      </c>
    </row>
    <row r="486" spans="1:13" x14ac:dyDescent="0.25">
      <c r="A486" s="1" t="s">
        <v>431</v>
      </c>
      <c r="B486" s="1" t="s">
        <v>376</v>
      </c>
      <c r="C486" s="1" t="s">
        <v>1073</v>
      </c>
      <c r="D486" s="1" t="s">
        <v>337</v>
      </c>
      <c r="E486" s="1" t="s">
        <v>16</v>
      </c>
      <c r="F486" s="1" t="s">
        <v>334</v>
      </c>
      <c r="G486" s="1" t="s">
        <v>722</v>
      </c>
      <c r="H486" s="1" t="s">
        <v>570</v>
      </c>
      <c r="I486" s="1" t="s">
        <v>818</v>
      </c>
      <c r="J486" s="1" t="s">
        <v>1074</v>
      </c>
      <c r="K486" s="1" t="s">
        <v>573</v>
      </c>
      <c r="L486" s="5">
        <v>2000000</v>
      </c>
      <c r="M486" s="1" t="s">
        <v>338</v>
      </c>
    </row>
    <row r="487" spans="1:13" x14ac:dyDescent="0.25">
      <c r="A487" s="1" t="s">
        <v>450</v>
      </c>
      <c r="B487" s="1" t="s">
        <v>382</v>
      </c>
      <c r="C487" s="1" t="s">
        <v>1887</v>
      </c>
      <c r="D487" s="1" t="s">
        <v>337</v>
      </c>
      <c r="E487" s="1" t="s">
        <v>16</v>
      </c>
      <c r="F487" s="1" t="s">
        <v>1130</v>
      </c>
      <c r="G487" s="1" t="s">
        <v>580</v>
      </c>
      <c r="H487" s="1" t="s">
        <v>605</v>
      </c>
      <c r="I487" s="1" t="s">
        <v>1638</v>
      </c>
      <c r="J487" s="1" t="s">
        <v>318</v>
      </c>
      <c r="K487" s="1" t="s">
        <v>615</v>
      </c>
      <c r="L487" s="5">
        <v>650000</v>
      </c>
      <c r="M487" s="1" t="s">
        <v>319</v>
      </c>
    </row>
    <row r="488" spans="1:13" x14ac:dyDescent="0.25">
      <c r="A488" s="1" t="s">
        <v>35</v>
      </c>
      <c r="B488" s="1" t="s">
        <v>331</v>
      </c>
      <c r="C488" s="1" t="s">
        <v>1536</v>
      </c>
      <c r="D488" s="1" t="s">
        <v>422</v>
      </c>
      <c r="E488" s="1" t="s">
        <v>16</v>
      </c>
      <c r="F488" s="1" t="s">
        <v>23</v>
      </c>
      <c r="G488" s="1" t="s">
        <v>580</v>
      </c>
      <c r="H488" s="1" t="s">
        <v>570</v>
      </c>
      <c r="I488" s="1" t="s">
        <v>618</v>
      </c>
      <c r="J488" s="1" t="s">
        <v>1496</v>
      </c>
      <c r="K488" s="1" t="s">
        <v>615</v>
      </c>
      <c r="L488" s="5">
        <v>500000</v>
      </c>
      <c r="M488" s="1" t="s">
        <v>23</v>
      </c>
    </row>
    <row r="489" spans="1:13" x14ac:dyDescent="0.25">
      <c r="A489" s="1" t="s">
        <v>128</v>
      </c>
      <c r="B489" s="1" t="s">
        <v>352</v>
      </c>
      <c r="C489" s="1" t="s">
        <v>677</v>
      </c>
      <c r="D489" s="1" t="s">
        <v>335</v>
      </c>
      <c r="E489" s="1" t="s">
        <v>16</v>
      </c>
      <c r="F489" s="1" t="s">
        <v>318</v>
      </c>
      <c r="G489" s="1" t="s">
        <v>678</v>
      </c>
      <c r="H489" s="1" t="s">
        <v>570</v>
      </c>
      <c r="I489" s="1" t="s">
        <v>618</v>
      </c>
      <c r="J489" s="1" t="s">
        <v>679</v>
      </c>
      <c r="K489" s="1" t="s">
        <v>573</v>
      </c>
      <c r="L489" s="5">
        <v>750000</v>
      </c>
      <c r="M489" s="1" t="s">
        <v>318</v>
      </c>
    </row>
    <row r="490" spans="1:13" x14ac:dyDescent="0.25">
      <c r="A490" s="1" t="s">
        <v>220</v>
      </c>
      <c r="B490" s="1" t="s">
        <v>0</v>
      </c>
      <c r="C490" s="1" t="s">
        <v>1951</v>
      </c>
      <c r="D490" s="1" t="s">
        <v>350</v>
      </c>
      <c r="E490" s="1" t="s">
        <v>16</v>
      </c>
      <c r="F490" s="1" t="s">
        <v>701</v>
      </c>
      <c r="G490" s="1" t="s">
        <v>596</v>
      </c>
      <c r="H490" s="1" t="s">
        <v>16</v>
      </c>
      <c r="I490" s="1" t="s">
        <v>597</v>
      </c>
      <c r="J490" s="1" t="s">
        <v>334</v>
      </c>
      <c r="K490" s="1" t="s">
        <v>573</v>
      </c>
      <c r="L490" s="5">
        <v>50000</v>
      </c>
      <c r="M490" s="1" t="s">
        <v>345</v>
      </c>
    </row>
    <row r="491" spans="1:13" x14ac:dyDescent="0.25">
      <c r="A491" s="1" t="s">
        <v>187</v>
      </c>
      <c r="B491" s="1" t="s">
        <v>325</v>
      </c>
      <c r="C491" s="1" t="s">
        <v>753</v>
      </c>
      <c r="D491" s="1" t="s">
        <v>370</v>
      </c>
      <c r="E491" s="1" t="s">
        <v>16</v>
      </c>
      <c r="F491" s="1" t="s">
        <v>1370</v>
      </c>
      <c r="G491" s="1" t="s">
        <v>627</v>
      </c>
      <c r="H491" s="1" t="s">
        <v>586</v>
      </c>
      <c r="I491" s="1" t="s">
        <v>930</v>
      </c>
      <c r="J491" s="1" t="s">
        <v>724</v>
      </c>
      <c r="K491" s="1" t="s">
        <v>16</v>
      </c>
      <c r="L491" s="5">
        <v>400000</v>
      </c>
      <c r="M491" s="1" t="s">
        <v>315</v>
      </c>
    </row>
    <row r="492" spans="1:13" x14ac:dyDescent="0.25">
      <c r="A492" s="1" t="s">
        <v>177</v>
      </c>
      <c r="B492" s="1" t="s">
        <v>331</v>
      </c>
      <c r="C492" s="1" t="s">
        <v>1330</v>
      </c>
      <c r="D492" s="1" t="s">
        <v>347</v>
      </c>
      <c r="E492" s="1" t="s">
        <v>16</v>
      </c>
      <c r="F492" s="1" t="s">
        <v>841</v>
      </c>
      <c r="G492" s="1" t="s">
        <v>585</v>
      </c>
      <c r="H492" s="1" t="s">
        <v>586</v>
      </c>
      <c r="I492" s="1" t="s">
        <v>1331</v>
      </c>
      <c r="J492" s="1" t="s">
        <v>317</v>
      </c>
      <c r="K492" s="1" t="s">
        <v>615</v>
      </c>
      <c r="L492" s="5">
        <v>250000</v>
      </c>
      <c r="M492" s="1" t="s">
        <v>315</v>
      </c>
    </row>
    <row r="493" spans="1:13" x14ac:dyDescent="0.25">
      <c r="A493" s="1" t="s">
        <v>147</v>
      </c>
      <c r="B493" s="1" t="s">
        <v>326</v>
      </c>
      <c r="C493" s="1" t="s">
        <v>1198</v>
      </c>
      <c r="D493" s="1" t="s">
        <v>337</v>
      </c>
      <c r="E493" s="1" t="s">
        <v>385</v>
      </c>
      <c r="F493" s="1" t="s">
        <v>344</v>
      </c>
      <c r="G493" s="1" t="s">
        <v>769</v>
      </c>
      <c r="H493" s="1" t="s">
        <v>570</v>
      </c>
      <c r="I493" s="1" t="s">
        <v>618</v>
      </c>
      <c r="J493" s="1" t="s">
        <v>1130</v>
      </c>
      <c r="K493" s="1" t="s">
        <v>615</v>
      </c>
      <c r="L493" s="5">
        <v>300000</v>
      </c>
      <c r="M493" s="1" t="s">
        <v>344</v>
      </c>
    </row>
    <row r="494" spans="1:13" x14ac:dyDescent="0.25">
      <c r="A494" s="1" t="s">
        <v>1869</v>
      </c>
      <c r="B494" s="1" t="s">
        <v>331</v>
      </c>
      <c r="C494" s="1" t="s">
        <v>1901</v>
      </c>
      <c r="D494" s="1" t="s">
        <v>337</v>
      </c>
      <c r="E494" s="1" t="s">
        <v>1902</v>
      </c>
      <c r="F494" s="1" t="s">
        <v>1903</v>
      </c>
      <c r="G494" s="1" t="s">
        <v>580</v>
      </c>
      <c r="H494" s="1" t="s">
        <v>570</v>
      </c>
      <c r="I494" s="1" t="s">
        <v>772</v>
      </c>
      <c r="J494" s="1" t="s">
        <v>1904</v>
      </c>
      <c r="K494" s="1" t="s">
        <v>1905</v>
      </c>
      <c r="L494" s="5">
        <v>25000</v>
      </c>
      <c r="M494" s="1" t="s">
        <v>319</v>
      </c>
    </row>
    <row r="495" spans="1:13" x14ac:dyDescent="0.25">
      <c r="A495" s="1" t="s">
        <v>2070</v>
      </c>
      <c r="B495" s="1" t="s">
        <v>331</v>
      </c>
      <c r="C495" s="1" t="s">
        <v>2071</v>
      </c>
      <c r="D495" s="1" t="s">
        <v>362</v>
      </c>
      <c r="E495" s="1" t="s">
        <v>16</v>
      </c>
      <c r="F495" s="1" t="s">
        <v>2072</v>
      </c>
      <c r="G495" s="1" t="s">
        <v>656</v>
      </c>
      <c r="H495" s="1" t="s">
        <v>16</v>
      </c>
      <c r="I495" s="1" t="s">
        <v>597</v>
      </c>
      <c r="J495" s="1" t="s">
        <v>2073</v>
      </c>
      <c r="K495" s="1" t="s">
        <v>16</v>
      </c>
      <c r="L495" s="5">
        <v>150000</v>
      </c>
      <c r="M495" s="1" t="s">
        <v>316</v>
      </c>
    </row>
    <row r="496" spans="1:13" x14ac:dyDescent="0.25">
      <c r="A496" s="1" t="s">
        <v>1055</v>
      </c>
      <c r="B496" s="1" t="s">
        <v>0</v>
      </c>
      <c r="C496" s="1" t="s">
        <v>1056</v>
      </c>
      <c r="D496" s="1" t="s">
        <v>337</v>
      </c>
      <c r="E496" s="1" t="s">
        <v>16</v>
      </c>
      <c r="F496" s="1" t="s">
        <v>338</v>
      </c>
      <c r="G496" s="1" t="s">
        <v>580</v>
      </c>
      <c r="H496" s="1" t="s">
        <v>570</v>
      </c>
      <c r="I496" s="1" t="s">
        <v>1057</v>
      </c>
      <c r="J496" s="1" t="s">
        <v>383</v>
      </c>
      <c r="K496" s="1" t="s">
        <v>573</v>
      </c>
      <c r="L496" s="5">
        <v>75000</v>
      </c>
      <c r="M496" s="1" t="s">
        <v>338</v>
      </c>
    </row>
    <row r="497" spans="1:13" x14ac:dyDescent="0.25">
      <c r="A497" s="1" t="s">
        <v>373</v>
      </c>
      <c r="B497" s="1" t="s">
        <v>324</v>
      </c>
      <c r="C497" s="1" t="s">
        <v>1185</v>
      </c>
      <c r="D497" s="1" t="s">
        <v>337</v>
      </c>
      <c r="E497" s="1" t="s">
        <v>16</v>
      </c>
      <c r="F497" s="1" t="s">
        <v>344</v>
      </c>
      <c r="G497" s="1" t="s">
        <v>612</v>
      </c>
      <c r="H497" s="1" t="s">
        <v>570</v>
      </c>
      <c r="I497" s="1" t="s">
        <v>1186</v>
      </c>
      <c r="J497" s="1" t="s">
        <v>724</v>
      </c>
      <c r="K497" s="1" t="s">
        <v>573</v>
      </c>
      <c r="L497" s="5">
        <v>800000</v>
      </c>
      <c r="M497" s="1" t="s">
        <v>344</v>
      </c>
    </row>
    <row r="498" spans="1:13" x14ac:dyDescent="0.25">
      <c r="A498" s="1" t="s">
        <v>256</v>
      </c>
      <c r="B498" s="1" t="s">
        <v>382</v>
      </c>
      <c r="C498" s="1" t="s">
        <v>2136</v>
      </c>
      <c r="D498" s="1" t="s">
        <v>362</v>
      </c>
      <c r="E498" s="1" t="s">
        <v>16</v>
      </c>
      <c r="F498" s="1" t="s">
        <v>1853</v>
      </c>
      <c r="G498" s="1" t="s">
        <v>633</v>
      </c>
      <c r="H498" s="1" t="s">
        <v>570</v>
      </c>
      <c r="I498" s="1" t="s">
        <v>965</v>
      </c>
      <c r="J498" s="1" t="s">
        <v>856</v>
      </c>
      <c r="K498" s="1" t="s">
        <v>578</v>
      </c>
      <c r="L498" s="5">
        <v>200000</v>
      </c>
      <c r="M498" s="1" t="s">
        <v>383</v>
      </c>
    </row>
    <row r="499" spans="1:13" x14ac:dyDescent="0.25">
      <c r="A499" s="1" t="s">
        <v>1866</v>
      </c>
      <c r="B499" s="1" t="s">
        <v>0</v>
      </c>
      <c r="C499" s="1" t="s">
        <v>1881</v>
      </c>
      <c r="D499" s="1" t="s">
        <v>337</v>
      </c>
      <c r="E499" s="1" t="s">
        <v>16</v>
      </c>
      <c r="F499" s="1" t="s">
        <v>841</v>
      </c>
      <c r="G499" s="1" t="s">
        <v>633</v>
      </c>
      <c r="H499" s="1" t="s">
        <v>570</v>
      </c>
      <c r="I499" s="1" t="s">
        <v>1037</v>
      </c>
      <c r="J499" s="1" t="s">
        <v>332</v>
      </c>
      <c r="K499" s="1" t="s">
        <v>573</v>
      </c>
      <c r="L499" s="5">
        <v>150000</v>
      </c>
      <c r="M499" s="1" t="s">
        <v>319</v>
      </c>
    </row>
    <row r="500" spans="1:13" x14ac:dyDescent="0.25">
      <c r="A500" s="1" t="s">
        <v>2254</v>
      </c>
      <c r="B500" s="1" t="s">
        <v>352</v>
      </c>
      <c r="C500" s="1" t="s">
        <v>2255</v>
      </c>
      <c r="D500" s="1" t="s">
        <v>337</v>
      </c>
      <c r="E500" s="1" t="s">
        <v>16</v>
      </c>
      <c r="F500" s="1" t="s">
        <v>724</v>
      </c>
      <c r="G500" s="1" t="s">
        <v>767</v>
      </c>
      <c r="H500" s="1" t="s">
        <v>570</v>
      </c>
      <c r="I500" s="1" t="s">
        <v>874</v>
      </c>
      <c r="J500" s="1" t="s">
        <v>979</v>
      </c>
      <c r="K500" s="1" t="s">
        <v>16</v>
      </c>
      <c r="L500" s="5">
        <v>100000</v>
      </c>
      <c r="M500" s="1" t="s">
        <v>348</v>
      </c>
    </row>
    <row r="501" spans="1:13" x14ac:dyDescent="0.25">
      <c r="A501" s="1" t="s">
        <v>14</v>
      </c>
      <c r="B501" s="1" t="s">
        <v>331</v>
      </c>
      <c r="C501" s="1" t="s">
        <v>2069</v>
      </c>
      <c r="D501" s="1" t="s">
        <v>362</v>
      </c>
      <c r="E501" s="1" t="s">
        <v>16</v>
      </c>
      <c r="F501" s="1" t="s">
        <v>316</v>
      </c>
      <c r="G501" s="1" t="s">
        <v>775</v>
      </c>
      <c r="H501" s="1" t="s">
        <v>586</v>
      </c>
      <c r="I501" s="1" t="s">
        <v>1264</v>
      </c>
      <c r="J501" s="1" t="s">
        <v>1741</v>
      </c>
      <c r="K501" s="1" t="s">
        <v>573</v>
      </c>
      <c r="L501" s="5">
        <v>250000</v>
      </c>
      <c r="M501" s="1" t="s">
        <v>316</v>
      </c>
    </row>
    <row r="502" spans="1:13" x14ac:dyDescent="0.25">
      <c r="A502" s="1" t="s">
        <v>1588</v>
      </c>
      <c r="B502" s="1" t="s">
        <v>324</v>
      </c>
      <c r="C502" s="1" t="s">
        <v>1641</v>
      </c>
      <c r="D502" s="1" t="s">
        <v>337</v>
      </c>
      <c r="E502" s="1" t="s">
        <v>16</v>
      </c>
      <c r="F502" s="1" t="s">
        <v>964</v>
      </c>
      <c r="G502" s="1" t="s">
        <v>812</v>
      </c>
      <c r="H502" s="1" t="s">
        <v>605</v>
      </c>
      <c r="I502" s="1" t="s">
        <v>1642</v>
      </c>
      <c r="J502" s="1" t="s">
        <v>1643</v>
      </c>
      <c r="K502" s="1" t="s">
        <v>573</v>
      </c>
      <c r="L502" s="5">
        <v>150000</v>
      </c>
      <c r="M502" s="1" t="s">
        <v>349</v>
      </c>
    </row>
    <row r="503" spans="1:13" x14ac:dyDescent="0.25">
      <c r="A503" s="1" t="s">
        <v>513</v>
      </c>
      <c r="B503" s="1" t="s">
        <v>331</v>
      </c>
      <c r="C503" s="1" t="s">
        <v>1172</v>
      </c>
      <c r="D503" s="1" t="s">
        <v>337</v>
      </c>
      <c r="E503" s="1" t="s">
        <v>16</v>
      </c>
      <c r="F503" s="1" t="s">
        <v>344</v>
      </c>
      <c r="G503" s="1" t="s">
        <v>722</v>
      </c>
      <c r="H503" s="1" t="s">
        <v>605</v>
      </c>
      <c r="I503" s="1" t="s">
        <v>1173</v>
      </c>
      <c r="J503" s="1" t="s">
        <v>315</v>
      </c>
      <c r="K503" s="1" t="s">
        <v>578</v>
      </c>
      <c r="L503" s="5">
        <v>500000</v>
      </c>
      <c r="M503" s="1" t="s">
        <v>344</v>
      </c>
    </row>
    <row r="504" spans="1:13" x14ac:dyDescent="0.25">
      <c r="A504" s="1" t="s">
        <v>513</v>
      </c>
      <c r="B504" s="1" t="s">
        <v>331</v>
      </c>
      <c r="C504" s="1" t="s">
        <v>1172</v>
      </c>
      <c r="D504" s="1" t="s">
        <v>337</v>
      </c>
      <c r="E504" s="1" t="s">
        <v>16</v>
      </c>
      <c r="F504" s="1" t="s">
        <v>344</v>
      </c>
      <c r="G504" s="1" t="s">
        <v>722</v>
      </c>
      <c r="H504" s="1" t="s">
        <v>605</v>
      </c>
      <c r="I504" s="1" t="s">
        <v>1011</v>
      </c>
      <c r="J504" s="1" t="s">
        <v>1327</v>
      </c>
      <c r="K504" s="1" t="s">
        <v>578</v>
      </c>
      <c r="L504" s="5">
        <v>500000</v>
      </c>
      <c r="M504" s="1" t="s">
        <v>315</v>
      </c>
    </row>
    <row r="505" spans="1:13" x14ac:dyDescent="0.25">
      <c r="A505" s="1" t="s">
        <v>451</v>
      </c>
      <c r="B505" s="1" t="s">
        <v>331</v>
      </c>
      <c r="C505" s="1" t="s">
        <v>1616</v>
      </c>
      <c r="D505" s="1" t="s">
        <v>337</v>
      </c>
      <c r="E505" s="1" t="s">
        <v>16</v>
      </c>
      <c r="F505" s="1" t="s">
        <v>349</v>
      </c>
      <c r="G505" s="1" t="s">
        <v>684</v>
      </c>
      <c r="H505" s="1" t="s">
        <v>605</v>
      </c>
      <c r="I505" s="1" t="s">
        <v>1617</v>
      </c>
      <c r="J505" s="1" t="s">
        <v>1107</v>
      </c>
      <c r="K505" s="1" t="s">
        <v>615</v>
      </c>
      <c r="L505" s="5">
        <v>250000</v>
      </c>
      <c r="M505" s="1" t="s">
        <v>349</v>
      </c>
    </row>
    <row r="506" spans="1:13" x14ac:dyDescent="0.25">
      <c r="A506" s="1" t="s">
        <v>2236</v>
      </c>
      <c r="B506" s="1" t="s">
        <v>376</v>
      </c>
      <c r="C506" s="1" t="s">
        <v>2237</v>
      </c>
      <c r="D506" s="1" t="s">
        <v>337</v>
      </c>
      <c r="E506" s="1" t="s">
        <v>16</v>
      </c>
      <c r="F506" s="1" t="s">
        <v>1472</v>
      </c>
      <c r="G506" s="1" t="s">
        <v>641</v>
      </c>
      <c r="H506" s="1" t="s">
        <v>570</v>
      </c>
      <c r="I506" s="1" t="s">
        <v>1264</v>
      </c>
      <c r="J506" s="1" t="s">
        <v>1472</v>
      </c>
      <c r="K506" s="1" t="s">
        <v>573</v>
      </c>
      <c r="L506" s="5">
        <v>25000</v>
      </c>
      <c r="M506" s="1" t="s">
        <v>348</v>
      </c>
    </row>
    <row r="507" spans="1:13" x14ac:dyDescent="0.25">
      <c r="A507" s="1" t="s">
        <v>378</v>
      </c>
      <c r="B507" s="1" t="s">
        <v>328</v>
      </c>
      <c r="C507" s="1" t="s">
        <v>1032</v>
      </c>
      <c r="D507" s="1" t="s">
        <v>337</v>
      </c>
      <c r="E507" s="1" t="s">
        <v>16</v>
      </c>
      <c r="F507" s="1" t="s">
        <v>341</v>
      </c>
      <c r="G507" s="1" t="s">
        <v>702</v>
      </c>
      <c r="H507" s="1" t="s">
        <v>570</v>
      </c>
      <c r="I507" s="1" t="s">
        <v>1033</v>
      </c>
      <c r="J507" s="1" t="s">
        <v>923</v>
      </c>
      <c r="K507" s="1" t="s">
        <v>573</v>
      </c>
      <c r="L507" s="5">
        <v>600000</v>
      </c>
      <c r="M507" s="1" t="s">
        <v>341</v>
      </c>
    </row>
    <row r="508" spans="1:13" x14ac:dyDescent="0.25">
      <c r="A508" s="1" t="s">
        <v>536</v>
      </c>
      <c r="B508" s="1" t="s">
        <v>326</v>
      </c>
      <c r="C508" s="1" t="s">
        <v>1709</v>
      </c>
      <c r="D508" s="1" t="s">
        <v>337</v>
      </c>
      <c r="E508" s="1" t="s">
        <v>16</v>
      </c>
      <c r="F508" s="1" t="s">
        <v>1060</v>
      </c>
      <c r="G508" s="1" t="s">
        <v>791</v>
      </c>
      <c r="H508" s="1" t="s">
        <v>605</v>
      </c>
      <c r="I508" s="1" t="s">
        <v>2260</v>
      </c>
      <c r="J508" s="1" t="s">
        <v>383</v>
      </c>
      <c r="K508" s="1" t="s">
        <v>615</v>
      </c>
      <c r="L508" s="5">
        <v>200000</v>
      </c>
      <c r="M508" s="1" t="s">
        <v>348</v>
      </c>
    </row>
    <row r="509" spans="1:13" x14ac:dyDescent="0.25">
      <c r="A509" s="1" t="s">
        <v>504</v>
      </c>
      <c r="B509" s="1" t="s">
        <v>382</v>
      </c>
      <c r="C509" s="1" t="s">
        <v>1062</v>
      </c>
      <c r="D509" s="1" t="s">
        <v>337</v>
      </c>
      <c r="E509" s="1" t="s">
        <v>16</v>
      </c>
      <c r="F509" s="1" t="s">
        <v>338</v>
      </c>
      <c r="G509" s="1" t="s">
        <v>627</v>
      </c>
      <c r="H509" s="1" t="s">
        <v>570</v>
      </c>
      <c r="I509" s="1" t="s">
        <v>913</v>
      </c>
      <c r="J509" s="1" t="s">
        <v>654</v>
      </c>
      <c r="K509" s="1" t="s">
        <v>588</v>
      </c>
      <c r="L509" s="5">
        <v>1500000</v>
      </c>
      <c r="M509" s="1" t="s">
        <v>338</v>
      </c>
    </row>
    <row r="510" spans="1:13" x14ac:dyDescent="0.25">
      <c r="A510" s="1" t="s">
        <v>504</v>
      </c>
      <c r="B510" s="1" t="s">
        <v>330</v>
      </c>
      <c r="C510" s="1" t="s">
        <v>1716</v>
      </c>
      <c r="D510" s="1" t="s">
        <v>337</v>
      </c>
      <c r="E510" s="1" t="s">
        <v>16</v>
      </c>
      <c r="F510" s="1" t="s">
        <v>1717</v>
      </c>
      <c r="G510" s="1" t="s">
        <v>812</v>
      </c>
      <c r="H510" s="1" t="s">
        <v>570</v>
      </c>
      <c r="I510" s="1" t="s">
        <v>1718</v>
      </c>
      <c r="J510" s="1" t="s">
        <v>724</v>
      </c>
      <c r="K510" s="1" t="s">
        <v>615</v>
      </c>
      <c r="L510" s="5">
        <v>250000</v>
      </c>
      <c r="M510" s="1" t="s">
        <v>361</v>
      </c>
    </row>
    <row r="511" spans="1:13" x14ac:dyDescent="0.25">
      <c r="A511" s="1" t="s">
        <v>1230</v>
      </c>
      <c r="B511" s="1" t="s">
        <v>0</v>
      </c>
      <c r="C511" s="1" t="s">
        <v>1231</v>
      </c>
      <c r="D511" s="1" t="s">
        <v>337</v>
      </c>
      <c r="E511" s="1" t="s">
        <v>16</v>
      </c>
      <c r="F511" s="1" t="s">
        <v>1009</v>
      </c>
      <c r="G511" s="1" t="s">
        <v>580</v>
      </c>
      <c r="H511" s="1" t="s">
        <v>16</v>
      </c>
      <c r="I511" s="1" t="s">
        <v>618</v>
      </c>
      <c r="J511" s="1" t="s">
        <v>1009</v>
      </c>
      <c r="K511" s="1" t="s">
        <v>573</v>
      </c>
      <c r="L511" s="5">
        <v>25000</v>
      </c>
      <c r="M511" s="1" t="s">
        <v>339</v>
      </c>
    </row>
    <row r="512" spans="1:13" x14ac:dyDescent="0.25">
      <c r="A512" s="1" t="s">
        <v>2087</v>
      </c>
      <c r="B512" s="1" t="s">
        <v>330</v>
      </c>
      <c r="C512" s="1" t="s">
        <v>2088</v>
      </c>
      <c r="D512" s="1" t="s">
        <v>337</v>
      </c>
      <c r="E512" s="1" t="s">
        <v>16</v>
      </c>
      <c r="F512" s="1" t="s">
        <v>2089</v>
      </c>
      <c r="G512" s="1" t="s">
        <v>684</v>
      </c>
      <c r="H512" s="1" t="s">
        <v>570</v>
      </c>
      <c r="I512" s="1" t="s">
        <v>597</v>
      </c>
      <c r="J512" s="1" t="s">
        <v>2090</v>
      </c>
      <c r="K512" s="1" t="s">
        <v>16</v>
      </c>
      <c r="L512" s="5">
        <v>50000</v>
      </c>
      <c r="M512" s="1" t="s">
        <v>316</v>
      </c>
    </row>
    <row r="513" spans="1:13" x14ac:dyDescent="0.25">
      <c r="A513" s="1" t="s">
        <v>512</v>
      </c>
      <c r="B513" s="1" t="s">
        <v>382</v>
      </c>
      <c r="C513" s="1" t="s">
        <v>1683</v>
      </c>
      <c r="D513" s="1" t="s">
        <v>337</v>
      </c>
      <c r="E513" s="1" t="s">
        <v>16</v>
      </c>
      <c r="F513" s="1" t="s">
        <v>361</v>
      </c>
      <c r="G513" s="1" t="s">
        <v>775</v>
      </c>
      <c r="H513" s="1" t="s">
        <v>605</v>
      </c>
      <c r="I513" s="1" t="s">
        <v>1684</v>
      </c>
      <c r="J513" s="1" t="s">
        <v>1336</v>
      </c>
      <c r="K513" s="1" t="s">
        <v>573</v>
      </c>
      <c r="L513" s="5">
        <v>350000</v>
      </c>
      <c r="M513" s="1" t="s">
        <v>361</v>
      </c>
    </row>
    <row r="514" spans="1:13" x14ac:dyDescent="0.25">
      <c r="A514" s="1" t="s">
        <v>418</v>
      </c>
      <c r="B514" s="1" t="s">
        <v>324</v>
      </c>
      <c r="C514" s="1" t="s">
        <v>1557</v>
      </c>
      <c r="D514" s="1" t="s">
        <v>337</v>
      </c>
      <c r="E514" s="1" t="s">
        <v>16</v>
      </c>
      <c r="F514" s="1" t="s">
        <v>23</v>
      </c>
      <c r="G514" s="1" t="s">
        <v>709</v>
      </c>
      <c r="H514" s="1" t="s">
        <v>16</v>
      </c>
      <c r="I514" s="1" t="s">
        <v>1503</v>
      </c>
      <c r="J514" s="1" t="s">
        <v>1494</v>
      </c>
      <c r="K514" s="1" t="s">
        <v>644</v>
      </c>
      <c r="L514" s="5">
        <v>450000</v>
      </c>
      <c r="M514" s="1" t="s">
        <v>23</v>
      </c>
    </row>
    <row r="515" spans="1:13" x14ac:dyDescent="0.25">
      <c r="A515" s="1" t="s">
        <v>1427</v>
      </c>
      <c r="B515" s="1" t="s">
        <v>359</v>
      </c>
      <c r="C515" s="1" t="s">
        <v>1428</v>
      </c>
      <c r="D515" s="1" t="s">
        <v>337</v>
      </c>
      <c r="E515" s="1" t="s">
        <v>16</v>
      </c>
      <c r="F515" s="1" t="s">
        <v>1378</v>
      </c>
      <c r="G515" s="1" t="s">
        <v>612</v>
      </c>
      <c r="H515" s="1" t="s">
        <v>586</v>
      </c>
      <c r="I515" s="1" t="s">
        <v>597</v>
      </c>
      <c r="J515" s="1" t="s">
        <v>893</v>
      </c>
      <c r="K515" s="1" t="s">
        <v>16</v>
      </c>
      <c r="L515" s="5">
        <v>100000</v>
      </c>
      <c r="M515" s="1" t="s">
        <v>317</v>
      </c>
    </row>
    <row r="516" spans="1:13" x14ac:dyDescent="0.25">
      <c r="A516" s="1" t="s">
        <v>1768</v>
      </c>
      <c r="B516" s="1" t="s">
        <v>325</v>
      </c>
      <c r="C516" s="1" t="s">
        <v>1769</v>
      </c>
      <c r="D516" s="1" t="s">
        <v>337</v>
      </c>
      <c r="E516" s="1" t="s">
        <v>16</v>
      </c>
      <c r="F516" s="1" t="s">
        <v>361</v>
      </c>
      <c r="G516" s="1" t="s">
        <v>16</v>
      </c>
      <c r="H516" s="1" t="s">
        <v>16</v>
      </c>
      <c r="I516" s="1" t="s">
        <v>735</v>
      </c>
      <c r="J516" s="1" t="s">
        <v>1012</v>
      </c>
      <c r="K516" s="1" t="s">
        <v>615</v>
      </c>
      <c r="L516" s="5">
        <v>25000</v>
      </c>
      <c r="M516" s="1" t="s">
        <v>361</v>
      </c>
    </row>
    <row r="517" spans="1:13" x14ac:dyDescent="0.25">
      <c r="A517" s="1" t="s">
        <v>33</v>
      </c>
      <c r="B517" s="1" t="s">
        <v>359</v>
      </c>
      <c r="C517" s="1" t="s">
        <v>1551</v>
      </c>
      <c r="D517" s="1" t="s">
        <v>350</v>
      </c>
      <c r="E517" s="1" t="s">
        <v>16</v>
      </c>
      <c r="F517" s="1" t="s">
        <v>23</v>
      </c>
      <c r="G517" s="1" t="s">
        <v>617</v>
      </c>
      <c r="H517" s="1" t="s">
        <v>586</v>
      </c>
      <c r="I517" s="1" t="s">
        <v>1501</v>
      </c>
      <c r="J517" s="1" t="s">
        <v>1479</v>
      </c>
      <c r="K517" s="1" t="s">
        <v>573</v>
      </c>
      <c r="L517" s="5">
        <v>400000</v>
      </c>
      <c r="M517" s="1" t="s">
        <v>23</v>
      </c>
    </row>
    <row r="518" spans="1:13" x14ac:dyDescent="0.25">
      <c r="A518" s="1" t="s">
        <v>421</v>
      </c>
      <c r="B518" s="1" t="s">
        <v>326</v>
      </c>
      <c r="C518" s="1" t="s">
        <v>803</v>
      </c>
      <c r="D518" s="1" t="s">
        <v>337</v>
      </c>
      <c r="E518" s="1" t="s">
        <v>16</v>
      </c>
      <c r="F518" s="1" t="s">
        <v>334</v>
      </c>
      <c r="G518" s="1" t="s">
        <v>791</v>
      </c>
      <c r="H518" s="1" t="s">
        <v>570</v>
      </c>
      <c r="I518" s="1" t="s">
        <v>597</v>
      </c>
      <c r="J518" s="1" t="s">
        <v>829</v>
      </c>
      <c r="K518" s="1" t="s">
        <v>588</v>
      </c>
      <c r="L518" s="5">
        <v>1200000</v>
      </c>
      <c r="M518" s="1" t="s">
        <v>334</v>
      </c>
    </row>
    <row r="519" spans="1:13" x14ac:dyDescent="0.25">
      <c r="A519" s="1" t="s">
        <v>266</v>
      </c>
      <c r="B519" s="1" t="s">
        <v>324</v>
      </c>
      <c r="C519" s="1" t="s">
        <v>2172</v>
      </c>
      <c r="D519" s="1" t="s">
        <v>350</v>
      </c>
      <c r="E519" s="1" t="s">
        <v>16</v>
      </c>
      <c r="F519" s="1" t="s">
        <v>2173</v>
      </c>
      <c r="G519" s="1" t="s">
        <v>612</v>
      </c>
      <c r="H519" s="1" t="s">
        <v>605</v>
      </c>
      <c r="I519" s="1" t="s">
        <v>1260</v>
      </c>
      <c r="J519" s="1" t="s">
        <v>654</v>
      </c>
      <c r="K519" s="1" t="s">
        <v>615</v>
      </c>
      <c r="L519" s="5">
        <v>350000</v>
      </c>
      <c r="M519" s="1" t="s">
        <v>383</v>
      </c>
    </row>
    <row r="520" spans="1:13" x14ac:dyDescent="0.25">
      <c r="A520" s="1" t="s">
        <v>1745</v>
      </c>
      <c r="B520" s="1" t="s">
        <v>328</v>
      </c>
      <c r="C520" s="1" t="s">
        <v>1746</v>
      </c>
      <c r="D520" s="1" t="s">
        <v>337</v>
      </c>
      <c r="E520" s="1" t="s">
        <v>16</v>
      </c>
      <c r="F520" s="1" t="s">
        <v>701</v>
      </c>
      <c r="G520" s="1" t="s">
        <v>612</v>
      </c>
      <c r="H520" s="1" t="s">
        <v>16</v>
      </c>
      <c r="I520" s="1" t="s">
        <v>618</v>
      </c>
      <c r="J520" s="1" t="s">
        <v>836</v>
      </c>
      <c r="K520" s="1" t="s">
        <v>573</v>
      </c>
      <c r="L520" s="5">
        <v>50000</v>
      </c>
      <c r="M520" s="1" t="s">
        <v>361</v>
      </c>
    </row>
    <row r="521" spans="1:13" x14ac:dyDescent="0.25">
      <c r="A521" s="1" t="s">
        <v>2273</v>
      </c>
      <c r="B521" s="1" t="s">
        <v>325</v>
      </c>
      <c r="C521" s="1" t="s">
        <v>2274</v>
      </c>
      <c r="D521" s="1" t="s">
        <v>337</v>
      </c>
      <c r="E521" s="1" t="s">
        <v>16</v>
      </c>
      <c r="F521" s="1" t="s">
        <v>348</v>
      </c>
      <c r="G521" s="1" t="s">
        <v>16</v>
      </c>
      <c r="H521" s="1" t="s">
        <v>16</v>
      </c>
      <c r="I521" s="1" t="s">
        <v>1343</v>
      </c>
      <c r="J521" s="1" t="s">
        <v>2209</v>
      </c>
      <c r="K521" s="1" t="s">
        <v>16</v>
      </c>
      <c r="L521" s="5">
        <v>25000</v>
      </c>
      <c r="M521" s="1" t="s">
        <v>348</v>
      </c>
    </row>
    <row r="522" spans="1:13" x14ac:dyDescent="0.25">
      <c r="A522" s="1" t="s">
        <v>1946</v>
      </c>
      <c r="B522" s="1" t="s">
        <v>0</v>
      </c>
      <c r="C522" s="1" t="s">
        <v>1947</v>
      </c>
      <c r="D522" s="1" t="s">
        <v>337</v>
      </c>
      <c r="E522" s="1" t="s">
        <v>16</v>
      </c>
      <c r="F522" s="1" t="s">
        <v>345</v>
      </c>
      <c r="G522" s="1" t="s">
        <v>580</v>
      </c>
      <c r="H522" s="1" t="s">
        <v>586</v>
      </c>
      <c r="I522" s="1" t="s">
        <v>592</v>
      </c>
      <c r="J522" s="1" t="s">
        <v>1221</v>
      </c>
      <c r="K522" s="1" t="s">
        <v>615</v>
      </c>
      <c r="L522" s="5">
        <v>500000</v>
      </c>
      <c r="M522" s="1" t="s">
        <v>345</v>
      </c>
    </row>
    <row r="523" spans="1:13" x14ac:dyDescent="0.25">
      <c r="A523" s="1" t="s">
        <v>1552</v>
      </c>
      <c r="B523" s="1" t="s">
        <v>359</v>
      </c>
      <c r="C523" s="1" t="s">
        <v>1553</v>
      </c>
      <c r="D523" s="1" t="s">
        <v>337</v>
      </c>
      <c r="E523" s="1" t="s">
        <v>16</v>
      </c>
      <c r="F523" s="1" t="s">
        <v>1302</v>
      </c>
      <c r="G523" s="1" t="s">
        <v>775</v>
      </c>
      <c r="H523" s="1" t="s">
        <v>586</v>
      </c>
      <c r="I523" s="1" t="s">
        <v>1554</v>
      </c>
      <c r="J523" s="1" t="s">
        <v>1302</v>
      </c>
      <c r="K523" s="1" t="s">
        <v>573</v>
      </c>
      <c r="L523" s="5" t="s">
        <v>16</v>
      </c>
      <c r="M523" s="1" t="s">
        <v>23</v>
      </c>
    </row>
    <row r="524" spans="1:13" x14ac:dyDescent="0.25">
      <c r="A524" s="1" t="s">
        <v>1134</v>
      </c>
      <c r="B524" s="1" t="s">
        <v>11</v>
      </c>
      <c r="C524" s="1" t="s">
        <v>1147</v>
      </c>
      <c r="D524" s="1" t="s">
        <v>337</v>
      </c>
      <c r="E524" s="1" t="s">
        <v>16</v>
      </c>
      <c r="F524" s="1" t="s">
        <v>1148</v>
      </c>
      <c r="G524" s="1" t="s">
        <v>769</v>
      </c>
      <c r="H524" s="1" t="s">
        <v>16</v>
      </c>
      <c r="I524" s="1" t="s">
        <v>16</v>
      </c>
      <c r="J524" s="1"/>
      <c r="K524" s="1" t="s">
        <v>16</v>
      </c>
      <c r="L524" s="5" t="s">
        <v>16</v>
      </c>
      <c r="M524" s="1" t="s">
        <v>344</v>
      </c>
    </row>
    <row r="525" spans="1:13" x14ac:dyDescent="0.25">
      <c r="A525" s="1" t="s">
        <v>437</v>
      </c>
      <c r="B525" s="1" t="s">
        <v>325</v>
      </c>
      <c r="C525" s="1" t="s">
        <v>1213</v>
      </c>
      <c r="D525" s="1" t="s">
        <v>337</v>
      </c>
      <c r="E525" s="1" t="s">
        <v>16</v>
      </c>
      <c r="F525" s="1" t="s">
        <v>383</v>
      </c>
      <c r="G525" s="1" t="s">
        <v>627</v>
      </c>
      <c r="H525" s="1" t="s">
        <v>586</v>
      </c>
      <c r="I525" s="1" t="s">
        <v>592</v>
      </c>
      <c r="J525" s="1" t="s">
        <v>731</v>
      </c>
      <c r="K525" s="1" t="s">
        <v>615</v>
      </c>
      <c r="L525" s="5">
        <v>150000</v>
      </c>
      <c r="M525" s="1" t="s">
        <v>344</v>
      </c>
    </row>
    <row r="526" spans="1:13" x14ac:dyDescent="0.25">
      <c r="A526" s="1" t="s">
        <v>437</v>
      </c>
      <c r="B526" s="1" t="s">
        <v>325</v>
      </c>
      <c r="C526" s="1" t="s">
        <v>1213</v>
      </c>
      <c r="D526" s="1" t="s">
        <v>337</v>
      </c>
      <c r="E526" s="1" t="s">
        <v>16</v>
      </c>
      <c r="F526" s="1" t="s">
        <v>383</v>
      </c>
      <c r="G526" s="1" t="s">
        <v>627</v>
      </c>
      <c r="H526" s="1" t="s">
        <v>586</v>
      </c>
      <c r="I526" s="1" t="s">
        <v>1271</v>
      </c>
      <c r="J526" s="1" t="s">
        <v>344</v>
      </c>
      <c r="K526" s="1" t="s">
        <v>615</v>
      </c>
      <c r="L526" s="5">
        <v>150000</v>
      </c>
      <c r="M526" s="1" t="s">
        <v>361</v>
      </c>
    </row>
    <row r="527" spans="1:13" x14ac:dyDescent="0.25">
      <c r="A527" s="1" t="s">
        <v>92</v>
      </c>
      <c r="B527" s="1" t="s">
        <v>0</v>
      </c>
      <c r="C527" s="1" t="s">
        <v>741</v>
      </c>
      <c r="D527" s="1" t="s">
        <v>365</v>
      </c>
      <c r="E527" s="1" t="s">
        <v>16</v>
      </c>
      <c r="F527" s="1" t="s">
        <v>826</v>
      </c>
      <c r="G527" s="1" t="s">
        <v>633</v>
      </c>
      <c r="H527" s="1" t="s">
        <v>586</v>
      </c>
      <c r="I527" s="1" t="s">
        <v>597</v>
      </c>
      <c r="J527" s="1" t="s">
        <v>827</v>
      </c>
      <c r="K527" s="1" t="s">
        <v>573</v>
      </c>
      <c r="L527" s="5">
        <v>400000</v>
      </c>
      <c r="M527" s="1" t="s">
        <v>334</v>
      </c>
    </row>
    <row r="528" spans="1:13" x14ac:dyDescent="0.25">
      <c r="A528" s="1" t="s">
        <v>404</v>
      </c>
      <c r="B528" s="1" t="s">
        <v>324</v>
      </c>
      <c r="C528" s="1" t="s">
        <v>954</v>
      </c>
      <c r="D528" s="1" t="s">
        <v>336</v>
      </c>
      <c r="E528" s="1" t="s">
        <v>16</v>
      </c>
      <c r="F528" s="1" t="s">
        <v>349</v>
      </c>
      <c r="G528" s="1" t="s">
        <v>702</v>
      </c>
      <c r="H528" s="1" t="s">
        <v>570</v>
      </c>
      <c r="I528" s="1" t="s">
        <v>813</v>
      </c>
      <c r="J528" s="1" t="s">
        <v>955</v>
      </c>
      <c r="K528" s="1" t="s">
        <v>578</v>
      </c>
      <c r="L528" s="5">
        <v>700000</v>
      </c>
      <c r="M528" s="1" t="s">
        <v>332</v>
      </c>
    </row>
    <row r="529" spans="1:13" x14ac:dyDescent="0.25">
      <c r="A529" s="1" t="s">
        <v>404</v>
      </c>
      <c r="B529" s="1" t="s">
        <v>324</v>
      </c>
      <c r="C529" s="1" t="s">
        <v>954</v>
      </c>
      <c r="D529" s="1" t="s">
        <v>336</v>
      </c>
      <c r="E529" s="1" t="s">
        <v>16</v>
      </c>
      <c r="F529" s="1" t="s">
        <v>349</v>
      </c>
      <c r="G529" s="1" t="s">
        <v>702</v>
      </c>
      <c r="H529" s="1" t="s">
        <v>570</v>
      </c>
      <c r="I529" s="1" t="s">
        <v>1635</v>
      </c>
      <c r="J529" s="1" t="s">
        <v>332</v>
      </c>
      <c r="K529" s="1" t="s">
        <v>578</v>
      </c>
      <c r="L529" s="5">
        <v>700000</v>
      </c>
      <c r="M529" s="1" t="s">
        <v>349</v>
      </c>
    </row>
    <row r="530" spans="1:13" x14ac:dyDescent="0.25">
      <c r="A530" s="1" t="s">
        <v>1137</v>
      </c>
      <c r="B530" s="1" t="s">
        <v>382</v>
      </c>
      <c r="C530" s="1" t="s">
        <v>1160</v>
      </c>
      <c r="D530" s="1" t="s">
        <v>333</v>
      </c>
      <c r="E530" s="1" t="s">
        <v>16</v>
      </c>
      <c r="F530" s="1" t="s">
        <v>344</v>
      </c>
      <c r="G530" s="1" t="s">
        <v>656</v>
      </c>
      <c r="H530" s="1" t="s">
        <v>570</v>
      </c>
      <c r="I530" s="1" t="s">
        <v>618</v>
      </c>
      <c r="J530" s="1" t="s">
        <v>1161</v>
      </c>
      <c r="K530" s="1" t="s">
        <v>615</v>
      </c>
      <c r="L530" s="5">
        <v>150000</v>
      </c>
      <c r="M530" s="1" t="s">
        <v>344</v>
      </c>
    </row>
    <row r="531" spans="1:13" x14ac:dyDescent="0.25">
      <c r="A531" s="1" t="s">
        <v>104</v>
      </c>
      <c r="B531" s="1" t="s">
        <v>325</v>
      </c>
      <c r="C531" s="1" t="s">
        <v>819</v>
      </c>
      <c r="D531" s="1" t="s">
        <v>335</v>
      </c>
      <c r="E531" s="1" t="s">
        <v>16</v>
      </c>
      <c r="F531" s="1" t="s">
        <v>334</v>
      </c>
      <c r="G531" s="1" t="s">
        <v>722</v>
      </c>
      <c r="H531" s="1" t="s">
        <v>605</v>
      </c>
      <c r="I531" s="1" t="s">
        <v>820</v>
      </c>
      <c r="J531" s="1" t="s">
        <v>858</v>
      </c>
      <c r="K531" s="1" t="s">
        <v>578</v>
      </c>
      <c r="L531" s="5">
        <v>3000000</v>
      </c>
      <c r="M531" s="1" t="s">
        <v>334</v>
      </c>
    </row>
    <row r="532" spans="1:13" x14ac:dyDescent="0.25">
      <c r="A532" s="1" t="s">
        <v>2123</v>
      </c>
      <c r="B532" s="1" t="s">
        <v>0</v>
      </c>
      <c r="C532" s="1" t="s">
        <v>2124</v>
      </c>
      <c r="D532" s="1" t="s">
        <v>337</v>
      </c>
      <c r="E532" s="1" t="s">
        <v>16</v>
      </c>
      <c r="F532" s="1" t="s">
        <v>383</v>
      </c>
      <c r="G532" s="1" t="s">
        <v>580</v>
      </c>
      <c r="H532" s="1" t="s">
        <v>570</v>
      </c>
      <c r="I532" s="1" t="s">
        <v>618</v>
      </c>
      <c r="J532" s="1" t="s">
        <v>915</v>
      </c>
      <c r="K532" s="1" t="s">
        <v>578</v>
      </c>
      <c r="L532" s="5">
        <v>350000</v>
      </c>
      <c r="M532" s="1" t="s">
        <v>383</v>
      </c>
    </row>
    <row r="533" spans="1:13" x14ac:dyDescent="0.25">
      <c r="A533" s="1" t="s">
        <v>1585</v>
      </c>
      <c r="B533" s="1" t="s">
        <v>331</v>
      </c>
      <c r="C533" s="1" t="s">
        <v>1622</v>
      </c>
      <c r="D533" s="1" t="s">
        <v>337</v>
      </c>
      <c r="E533" s="1" t="s">
        <v>16</v>
      </c>
      <c r="F533" s="1" t="s">
        <v>1623</v>
      </c>
      <c r="G533" s="1" t="s">
        <v>627</v>
      </c>
      <c r="H533" s="1" t="s">
        <v>570</v>
      </c>
      <c r="I533" s="1" t="s">
        <v>908</v>
      </c>
      <c r="J533" s="1" t="s">
        <v>1594</v>
      </c>
      <c r="K533" s="1" t="s">
        <v>573</v>
      </c>
      <c r="L533" s="5">
        <v>25000</v>
      </c>
      <c r="M533" s="1" t="s">
        <v>349</v>
      </c>
    </row>
    <row r="534" spans="1:13" x14ac:dyDescent="0.25">
      <c r="A534" s="1" t="s">
        <v>1586</v>
      </c>
      <c r="B534" s="1" t="s">
        <v>330</v>
      </c>
      <c r="C534" s="1" t="s">
        <v>1625</v>
      </c>
      <c r="D534" s="1" t="s">
        <v>337</v>
      </c>
      <c r="E534" s="1" t="s">
        <v>16</v>
      </c>
      <c r="F534" s="1" t="s">
        <v>1626</v>
      </c>
      <c r="G534" s="1" t="s">
        <v>702</v>
      </c>
      <c r="H534" s="1" t="s">
        <v>16</v>
      </c>
      <c r="I534" s="1" t="s">
        <v>1627</v>
      </c>
      <c r="J534" s="1" t="s">
        <v>1594</v>
      </c>
      <c r="K534" s="1" t="s">
        <v>573</v>
      </c>
      <c r="L534" s="5">
        <v>25000</v>
      </c>
      <c r="M534" s="1" t="s">
        <v>349</v>
      </c>
    </row>
    <row r="535" spans="1:13" x14ac:dyDescent="0.25">
      <c r="A535" s="1" t="s">
        <v>248</v>
      </c>
      <c r="B535" s="1" t="s">
        <v>324</v>
      </c>
      <c r="C535" s="1" t="s">
        <v>1639</v>
      </c>
      <c r="D535" s="1" t="s">
        <v>368</v>
      </c>
      <c r="E535" s="1" t="s">
        <v>16</v>
      </c>
      <c r="F535" s="1" t="s">
        <v>1640</v>
      </c>
      <c r="G535" s="1" t="s">
        <v>684</v>
      </c>
      <c r="H535" s="1" t="s">
        <v>570</v>
      </c>
      <c r="I535" s="1" t="s">
        <v>618</v>
      </c>
      <c r="J535" s="1" t="s">
        <v>1405</v>
      </c>
      <c r="K535" s="1" t="s">
        <v>615</v>
      </c>
      <c r="L535" s="5">
        <v>200000</v>
      </c>
      <c r="M535" s="1" t="s">
        <v>349</v>
      </c>
    </row>
    <row r="536" spans="1:13" x14ac:dyDescent="0.25">
      <c r="A536" s="1" t="s">
        <v>1240</v>
      </c>
      <c r="B536" s="1" t="s">
        <v>382</v>
      </c>
      <c r="C536" s="1" t="s">
        <v>1241</v>
      </c>
      <c r="D536" s="1" t="s">
        <v>388</v>
      </c>
      <c r="E536" s="1" t="s">
        <v>16</v>
      </c>
      <c r="F536" s="1" t="s">
        <v>1242</v>
      </c>
      <c r="G536" s="1" t="s">
        <v>627</v>
      </c>
      <c r="H536" s="1" t="s">
        <v>586</v>
      </c>
      <c r="I536" s="1" t="s">
        <v>1040</v>
      </c>
      <c r="J536" s="1" t="s">
        <v>1243</v>
      </c>
      <c r="K536" s="1" t="s">
        <v>573</v>
      </c>
      <c r="L536" s="5">
        <v>200000</v>
      </c>
      <c r="M536" s="1" t="s">
        <v>339</v>
      </c>
    </row>
    <row r="537" spans="1:13" x14ac:dyDescent="0.25">
      <c r="A537" s="1" t="s">
        <v>432</v>
      </c>
      <c r="B537" s="1" t="s">
        <v>382</v>
      </c>
      <c r="C537" s="1" t="s">
        <v>910</v>
      </c>
      <c r="D537" s="1" t="s">
        <v>388</v>
      </c>
      <c r="E537" s="1" t="s">
        <v>16</v>
      </c>
      <c r="F537" s="1" t="s">
        <v>332</v>
      </c>
      <c r="G537" s="1" t="s">
        <v>633</v>
      </c>
      <c r="H537" s="1" t="s">
        <v>586</v>
      </c>
      <c r="I537" s="1" t="s">
        <v>618</v>
      </c>
      <c r="J537" s="1" t="s">
        <v>733</v>
      </c>
      <c r="K537" s="1" t="s">
        <v>578</v>
      </c>
      <c r="L537" s="5">
        <v>500000</v>
      </c>
      <c r="M537" s="1" t="s">
        <v>332</v>
      </c>
    </row>
    <row r="538" spans="1:13" x14ac:dyDescent="0.25">
      <c r="A538" s="1" t="s">
        <v>475</v>
      </c>
      <c r="B538" s="1" t="s">
        <v>326</v>
      </c>
      <c r="C538" s="1" t="s">
        <v>1356</v>
      </c>
      <c r="D538" s="1" t="s">
        <v>337</v>
      </c>
      <c r="E538" s="1" t="s">
        <v>16</v>
      </c>
      <c r="F538" s="1" t="s">
        <v>348</v>
      </c>
      <c r="G538" s="1" t="s">
        <v>769</v>
      </c>
      <c r="H538" s="1" t="s">
        <v>586</v>
      </c>
      <c r="I538" s="1" t="s">
        <v>1357</v>
      </c>
      <c r="J538" s="1" t="s">
        <v>733</v>
      </c>
      <c r="K538" s="1" t="s">
        <v>578</v>
      </c>
      <c r="L538" s="5">
        <v>300000</v>
      </c>
      <c r="M538" s="1" t="s">
        <v>315</v>
      </c>
    </row>
    <row r="539" spans="1:13" x14ac:dyDescent="0.25">
      <c r="A539" s="1" t="s">
        <v>459</v>
      </c>
      <c r="B539" s="1" t="s">
        <v>382</v>
      </c>
      <c r="C539" s="1" t="s">
        <v>1682</v>
      </c>
      <c r="D539" s="1" t="s">
        <v>337</v>
      </c>
      <c r="E539" s="1" t="s">
        <v>16</v>
      </c>
      <c r="F539" s="1" t="s">
        <v>361</v>
      </c>
      <c r="G539" s="1" t="s">
        <v>580</v>
      </c>
      <c r="H539" s="1" t="s">
        <v>16</v>
      </c>
      <c r="I539" s="1" t="s">
        <v>780</v>
      </c>
      <c r="J539" s="1" t="s">
        <v>1666</v>
      </c>
      <c r="K539" s="1" t="s">
        <v>615</v>
      </c>
      <c r="L539" s="5">
        <v>400000</v>
      </c>
      <c r="M539" s="1" t="s">
        <v>361</v>
      </c>
    </row>
    <row r="540" spans="1:13" x14ac:dyDescent="0.25">
      <c r="A540" s="1" t="s">
        <v>744</v>
      </c>
      <c r="B540" s="1" t="s">
        <v>0</v>
      </c>
      <c r="C540" s="1" t="s">
        <v>745</v>
      </c>
      <c r="D540" s="1" t="s">
        <v>337</v>
      </c>
      <c r="E540" s="1" t="s">
        <v>16</v>
      </c>
      <c r="F540" s="1" t="s">
        <v>632</v>
      </c>
      <c r="G540" s="1" t="s">
        <v>585</v>
      </c>
      <c r="H540" s="1" t="s">
        <v>570</v>
      </c>
      <c r="I540" s="1" t="s">
        <v>746</v>
      </c>
      <c r="J540" s="1" t="s">
        <v>829</v>
      </c>
      <c r="K540" s="1" t="s">
        <v>573</v>
      </c>
      <c r="L540" s="5">
        <v>200000</v>
      </c>
      <c r="M540" s="1" t="s">
        <v>334</v>
      </c>
    </row>
    <row r="541" spans="1:13" x14ac:dyDescent="0.25">
      <c r="A541" s="1" t="s">
        <v>1690</v>
      </c>
      <c r="B541" s="1" t="s">
        <v>382</v>
      </c>
      <c r="C541" s="1" t="s">
        <v>1691</v>
      </c>
      <c r="D541" s="1" t="s">
        <v>337</v>
      </c>
      <c r="E541" s="1" t="s">
        <v>16</v>
      </c>
      <c r="F541" s="1" t="s">
        <v>1666</v>
      </c>
      <c r="G541" s="1" t="s">
        <v>16</v>
      </c>
      <c r="H541" s="1" t="s">
        <v>16</v>
      </c>
      <c r="I541" s="1" t="s">
        <v>740</v>
      </c>
      <c r="J541" s="1" t="s">
        <v>1672</v>
      </c>
      <c r="K541" s="1" t="s">
        <v>16</v>
      </c>
      <c r="L541" s="5">
        <v>25000</v>
      </c>
      <c r="M541" s="1" t="s">
        <v>361</v>
      </c>
    </row>
    <row r="542" spans="1:13" x14ac:dyDescent="0.25">
      <c r="A542" s="1" t="s">
        <v>423</v>
      </c>
      <c r="B542" s="1" t="s">
        <v>324</v>
      </c>
      <c r="C542" s="1" t="s">
        <v>1102</v>
      </c>
      <c r="D542" s="1" t="s">
        <v>337</v>
      </c>
      <c r="E542" s="1" t="s">
        <v>16</v>
      </c>
      <c r="F542" s="1" t="s">
        <v>349</v>
      </c>
      <c r="G542" s="1" t="s">
        <v>810</v>
      </c>
      <c r="H542" s="1" t="s">
        <v>570</v>
      </c>
      <c r="I542" s="1" t="s">
        <v>618</v>
      </c>
      <c r="J542" s="1" t="s">
        <v>332</v>
      </c>
      <c r="K542" s="1" t="s">
        <v>573</v>
      </c>
      <c r="L542" s="5">
        <v>350000</v>
      </c>
      <c r="M542" s="1" t="s">
        <v>338</v>
      </c>
    </row>
    <row r="543" spans="1:13" x14ac:dyDescent="0.25">
      <c r="A543" s="1" t="s">
        <v>423</v>
      </c>
      <c r="B543" s="1" t="s">
        <v>324</v>
      </c>
      <c r="C543" s="1" t="s">
        <v>1102</v>
      </c>
      <c r="D543" s="1" t="s">
        <v>337</v>
      </c>
      <c r="E543" s="1" t="s">
        <v>16</v>
      </c>
      <c r="F543" s="1" t="s">
        <v>349</v>
      </c>
      <c r="G543" s="1" t="s">
        <v>810</v>
      </c>
      <c r="H543" s="1" t="s">
        <v>570</v>
      </c>
      <c r="I543" s="1" t="s">
        <v>1636</v>
      </c>
      <c r="J543" s="1" t="s">
        <v>338</v>
      </c>
      <c r="K543" s="1" t="s">
        <v>573</v>
      </c>
      <c r="L543" s="5">
        <v>350000</v>
      </c>
      <c r="M543" s="1" t="s">
        <v>349</v>
      </c>
    </row>
    <row r="544" spans="1:13" x14ac:dyDescent="0.25">
      <c r="A544" s="1" t="s">
        <v>1296</v>
      </c>
      <c r="B544" s="1" t="s">
        <v>331</v>
      </c>
      <c r="C544" s="1" t="s">
        <v>1342</v>
      </c>
      <c r="D544" s="1" t="s">
        <v>337</v>
      </c>
      <c r="E544" s="1" t="s">
        <v>16</v>
      </c>
      <c r="F544" s="1" t="s">
        <v>315</v>
      </c>
      <c r="G544" s="1" t="s">
        <v>585</v>
      </c>
      <c r="H544" s="1" t="s">
        <v>570</v>
      </c>
      <c r="I544" s="1" t="s">
        <v>1343</v>
      </c>
      <c r="J544" s="1" t="s">
        <v>1341</v>
      </c>
      <c r="K544" s="1" t="s">
        <v>578</v>
      </c>
      <c r="L544" s="5">
        <v>25000</v>
      </c>
      <c r="M544" s="1" t="s">
        <v>315</v>
      </c>
    </row>
    <row r="545" spans="1:13" x14ac:dyDescent="0.25">
      <c r="A545" s="1" t="s">
        <v>2188</v>
      </c>
      <c r="B545" s="1" t="s">
        <v>328</v>
      </c>
      <c r="C545" s="1" t="s">
        <v>2189</v>
      </c>
      <c r="D545" s="1" t="s">
        <v>553</v>
      </c>
      <c r="E545" s="1" t="s">
        <v>480</v>
      </c>
      <c r="F545" s="1" t="s">
        <v>383</v>
      </c>
      <c r="G545" s="1" t="s">
        <v>702</v>
      </c>
      <c r="H545" s="1" t="s">
        <v>570</v>
      </c>
      <c r="I545" s="1" t="s">
        <v>2190</v>
      </c>
      <c r="J545" s="1" t="s">
        <v>2187</v>
      </c>
      <c r="K545" s="1" t="s">
        <v>573</v>
      </c>
      <c r="L545" s="5">
        <v>400000</v>
      </c>
      <c r="M545" s="1" t="s">
        <v>383</v>
      </c>
    </row>
    <row r="546" spans="1:13" x14ac:dyDescent="0.25">
      <c r="A546" s="1" t="s">
        <v>307</v>
      </c>
      <c r="B546" s="1" t="s">
        <v>324</v>
      </c>
      <c r="C546" s="1" t="s">
        <v>1926</v>
      </c>
      <c r="D546" s="1" t="s">
        <v>346</v>
      </c>
      <c r="E546" s="1" t="s">
        <v>16</v>
      </c>
      <c r="F546" s="1" t="s">
        <v>316</v>
      </c>
      <c r="G546" s="1" t="s">
        <v>709</v>
      </c>
      <c r="H546" s="1" t="s">
        <v>570</v>
      </c>
      <c r="I546" s="1" t="s">
        <v>1264</v>
      </c>
      <c r="J546" s="1" t="s">
        <v>1741</v>
      </c>
      <c r="K546" s="1" t="s">
        <v>573</v>
      </c>
      <c r="L546" s="5">
        <v>350000</v>
      </c>
      <c r="M546" s="1" t="s">
        <v>316</v>
      </c>
    </row>
    <row r="547" spans="1:13" x14ac:dyDescent="0.25">
      <c r="A547" s="1" t="s">
        <v>528</v>
      </c>
      <c r="B547" s="1" t="s">
        <v>352</v>
      </c>
      <c r="C547" s="1" t="s">
        <v>1096</v>
      </c>
      <c r="D547" s="1" t="s">
        <v>430</v>
      </c>
      <c r="E547" s="1" t="s">
        <v>16</v>
      </c>
      <c r="F547" s="1" t="s">
        <v>1097</v>
      </c>
      <c r="G547" s="1" t="s">
        <v>709</v>
      </c>
      <c r="H547" s="1" t="s">
        <v>570</v>
      </c>
      <c r="I547" s="1" t="s">
        <v>780</v>
      </c>
      <c r="J547" s="1" t="s">
        <v>1098</v>
      </c>
      <c r="K547" s="1" t="s">
        <v>651</v>
      </c>
      <c r="L547" s="5">
        <v>250000</v>
      </c>
      <c r="M547" s="1" t="s">
        <v>338</v>
      </c>
    </row>
    <row r="548" spans="1:13" x14ac:dyDescent="0.25">
      <c r="A548" s="1" t="s">
        <v>1742</v>
      </c>
      <c r="B548" s="1" t="s">
        <v>328</v>
      </c>
      <c r="C548" s="1" t="s">
        <v>1743</v>
      </c>
      <c r="D548" s="1" t="s">
        <v>408</v>
      </c>
      <c r="E548" s="1" t="s">
        <v>16</v>
      </c>
      <c r="F548" s="1" t="s">
        <v>1744</v>
      </c>
      <c r="G548" s="1" t="s">
        <v>684</v>
      </c>
      <c r="H548" s="1" t="s">
        <v>586</v>
      </c>
      <c r="I548" s="1" t="s">
        <v>1452</v>
      </c>
      <c r="J548" s="1" t="s">
        <v>1744</v>
      </c>
      <c r="K548" s="1" t="s">
        <v>16</v>
      </c>
      <c r="L548" s="5">
        <v>225000</v>
      </c>
      <c r="M548" s="1" t="s">
        <v>361</v>
      </c>
    </row>
    <row r="549" spans="1:13" x14ac:dyDescent="0.25">
      <c r="A549" s="1" t="s">
        <v>8</v>
      </c>
      <c r="B549" s="1" t="s">
        <v>382</v>
      </c>
      <c r="C549" s="1" t="s">
        <v>2047</v>
      </c>
      <c r="D549" s="1" t="s">
        <v>388</v>
      </c>
      <c r="E549" s="1" t="s">
        <v>16</v>
      </c>
      <c r="F549" s="1" t="s">
        <v>316</v>
      </c>
      <c r="G549" s="1" t="s">
        <v>675</v>
      </c>
      <c r="H549" s="1" t="s">
        <v>570</v>
      </c>
      <c r="I549" s="1" t="s">
        <v>735</v>
      </c>
      <c r="J549" s="1" t="s">
        <v>2048</v>
      </c>
      <c r="K549" s="1" t="s">
        <v>573</v>
      </c>
      <c r="L549" s="5">
        <v>250000</v>
      </c>
      <c r="M549" s="1" t="s">
        <v>316</v>
      </c>
    </row>
    <row r="550" spans="1:13" x14ac:dyDescent="0.25">
      <c r="A550" s="1" t="s">
        <v>1584</v>
      </c>
      <c r="B550" s="1" t="s">
        <v>331</v>
      </c>
      <c r="C550" s="1" t="s">
        <v>1618</v>
      </c>
      <c r="D550" s="1" t="s">
        <v>436</v>
      </c>
      <c r="E550" s="1" t="s">
        <v>16</v>
      </c>
      <c r="F550" s="1" t="s">
        <v>349</v>
      </c>
      <c r="G550" s="1" t="s">
        <v>684</v>
      </c>
      <c r="H550" s="1" t="s">
        <v>570</v>
      </c>
      <c r="I550" s="1" t="s">
        <v>1057</v>
      </c>
      <c r="J550" s="1" t="s">
        <v>1619</v>
      </c>
      <c r="K550" s="1" t="s">
        <v>615</v>
      </c>
      <c r="L550" s="5">
        <v>200000</v>
      </c>
      <c r="M550" s="1" t="s">
        <v>349</v>
      </c>
    </row>
    <row r="551" spans="1:13" x14ac:dyDescent="0.25">
      <c r="A551" s="1" t="s">
        <v>427</v>
      </c>
      <c r="B551" s="1" t="s">
        <v>331</v>
      </c>
      <c r="C551" s="1" t="s">
        <v>781</v>
      </c>
      <c r="D551" s="1" t="s">
        <v>391</v>
      </c>
      <c r="E551" s="1" t="s">
        <v>16</v>
      </c>
      <c r="F551" s="1" t="s">
        <v>334</v>
      </c>
      <c r="G551" s="1" t="s">
        <v>675</v>
      </c>
      <c r="H551" s="1" t="s">
        <v>570</v>
      </c>
      <c r="I551" s="1" t="s">
        <v>782</v>
      </c>
      <c r="J551" s="1" t="s">
        <v>843</v>
      </c>
      <c r="K551" s="1" t="s">
        <v>578</v>
      </c>
      <c r="L551" s="5">
        <v>800000</v>
      </c>
      <c r="M551" s="1" t="s">
        <v>334</v>
      </c>
    </row>
    <row r="552" spans="1:13" x14ac:dyDescent="0.25">
      <c r="A552" s="1" t="s">
        <v>1583</v>
      </c>
      <c r="B552" s="1" t="s">
        <v>357</v>
      </c>
      <c r="C552" s="1" t="s">
        <v>1613</v>
      </c>
      <c r="D552" s="1" t="s">
        <v>337</v>
      </c>
      <c r="E552" s="1" t="s">
        <v>16</v>
      </c>
      <c r="F552" s="1" t="s">
        <v>601</v>
      </c>
      <c r="G552" s="1" t="s">
        <v>678</v>
      </c>
      <c r="H552" s="1" t="s">
        <v>586</v>
      </c>
      <c r="I552" s="1" t="s">
        <v>624</v>
      </c>
      <c r="J552" s="1" t="s">
        <v>1594</v>
      </c>
      <c r="K552" s="1" t="s">
        <v>573</v>
      </c>
      <c r="L552" s="5" t="s">
        <v>16</v>
      </c>
      <c r="M552" s="1" t="s">
        <v>349</v>
      </c>
    </row>
    <row r="553" spans="1:13" x14ac:dyDescent="0.25">
      <c r="A553" s="1" t="s">
        <v>1439</v>
      </c>
      <c r="B553" s="1" t="s">
        <v>324</v>
      </c>
      <c r="C553" s="1" t="s">
        <v>1440</v>
      </c>
      <c r="D553" s="1" t="s">
        <v>337</v>
      </c>
      <c r="E553" s="1" t="s">
        <v>16</v>
      </c>
      <c r="F553" s="1" t="s">
        <v>317</v>
      </c>
      <c r="G553" s="1" t="s">
        <v>617</v>
      </c>
      <c r="H553" s="1" t="s">
        <v>16</v>
      </c>
      <c r="I553" s="1" t="s">
        <v>740</v>
      </c>
      <c r="J553" s="1" t="s">
        <v>1378</v>
      </c>
      <c r="K553" s="1" t="s">
        <v>573</v>
      </c>
      <c r="L553" s="5" t="s">
        <v>16</v>
      </c>
      <c r="M553" s="1" t="s">
        <v>317</v>
      </c>
    </row>
    <row r="554" spans="1:13" x14ac:dyDescent="0.25">
      <c r="A554" s="1" t="s">
        <v>482</v>
      </c>
      <c r="B554" s="1" t="s">
        <v>330</v>
      </c>
      <c r="C554" s="1" t="s">
        <v>2166</v>
      </c>
      <c r="D554" s="1" t="s">
        <v>388</v>
      </c>
      <c r="E554" s="1" t="s">
        <v>16</v>
      </c>
      <c r="F554" s="1" t="s">
        <v>2167</v>
      </c>
      <c r="G554" s="1" t="s">
        <v>569</v>
      </c>
      <c r="H554" s="1" t="s">
        <v>570</v>
      </c>
      <c r="I554" s="1" t="s">
        <v>743</v>
      </c>
      <c r="J554" s="1" t="s">
        <v>1242</v>
      </c>
      <c r="K554" s="1" t="s">
        <v>573</v>
      </c>
      <c r="L554" s="5">
        <v>150000</v>
      </c>
      <c r="M554" s="1" t="s">
        <v>383</v>
      </c>
    </row>
    <row r="555" spans="1:13" x14ac:dyDescent="0.25">
      <c r="A555" s="1" t="s">
        <v>506</v>
      </c>
      <c r="B555" s="1" t="s">
        <v>325</v>
      </c>
      <c r="C555" s="1" t="s">
        <v>1207</v>
      </c>
      <c r="D555" s="1" t="s">
        <v>388</v>
      </c>
      <c r="E555" s="1" t="s">
        <v>16</v>
      </c>
      <c r="F555" s="1" t="s">
        <v>1208</v>
      </c>
      <c r="G555" s="1" t="s">
        <v>722</v>
      </c>
      <c r="H555" s="1" t="s">
        <v>570</v>
      </c>
      <c r="I555" s="1" t="s">
        <v>1209</v>
      </c>
      <c r="J555" s="1" t="s">
        <v>1210</v>
      </c>
      <c r="K555" s="1" t="s">
        <v>16</v>
      </c>
      <c r="L555" s="5">
        <v>300000</v>
      </c>
      <c r="M555" s="1" t="s">
        <v>344</v>
      </c>
    </row>
    <row r="556" spans="1:13" x14ac:dyDescent="0.25">
      <c r="A556" s="1" t="s">
        <v>824</v>
      </c>
      <c r="B556" s="1" t="s">
        <v>325</v>
      </c>
      <c r="C556" s="1" t="s">
        <v>825</v>
      </c>
      <c r="D556" s="1" t="s">
        <v>337</v>
      </c>
      <c r="E556" s="1" t="s">
        <v>16</v>
      </c>
      <c r="F556" s="1" t="s">
        <v>334</v>
      </c>
      <c r="G556" s="1" t="s">
        <v>684</v>
      </c>
      <c r="H556" s="1" t="s">
        <v>570</v>
      </c>
      <c r="I556" s="1" t="s">
        <v>772</v>
      </c>
      <c r="J556" s="1" t="s">
        <v>829</v>
      </c>
      <c r="K556" s="1" t="s">
        <v>573</v>
      </c>
      <c r="L556" s="5">
        <v>100000</v>
      </c>
      <c r="M556" s="1" t="s">
        <v>334</v>
      </c>
    </row>
    <row r="557" spans="1:13" x14ac:dyDescent="0.25">
      <c r="A557" s="1" t="s">
        <v>69</v>
      </c>
      <c r="B557" s="1" t="s">
        <v>352</v>
      </c>
      <c r="C557" s="1" t="s">
        <v>1417</v>
      </c>
      <c r="D557" s="1" t="s">
        <v>337</v>
      </c>
      <c r="E557" s="1" t="s">
        <v>16</v>
      </c>
      <c r="F557" s="1" t="s">
        <v>317</v>
      </c>
      <c r="G557" s="1" t="s">
        <v>617</v>
      </c>
      <c r="H557" s="1" t="s">
        <v>16</v>
      </c>
      <c r="I557" s="1" t="s">
        <v>1418</v>
      </c>
      <c r="J557" s="1" t="s">
        <v>601</v>
      </c>
      <c r="K557" s="1" t="s">
        <v>573</v>
      </c>
      <c r="L557" s="5">
        <v>300000</v>
      </c>
      <c r="M557" s="1" t="s">
        <v>317</v>
      </c>
    </row>
    <row r="558" spans="1:13" x14ac:dyDescent="0.25">
      <c r="A558" s="1" t="s">
        <v>1971</v>
      </c>
      <c r="B558" s="1" t="s">
        <v>382</v>
      </c>
      <c r="C558" s="1" t="s">
        <v>1972</v>
      </c>
      <c r="D558" s="1" t="s">
        <v>337</v>
      </c>
      <c r="E558" s="1" t="s">
        <v>16</v>
      </c>
      <c r="F558" s="1" t="s">
        <v>345</v>
      </c>
      <c r="G558" s="1" t="s">
        <v>656</v>
      </c>
      <c r="H558" s="1" t="s">
        <v>586</v>
      </c>
      <c r="I558" s="1" t="s">
        <v>1973</v>
      </c>
      <c r="J558" s="1" t="s">
        <v>1968</v>
      </c>
      <c r="K558" s="1" t="s">
        <v>615</v>
      </c>
      <c r="L558" s="5">
        <v>25000</v>
      </c>
      <c r="M558" s="1" t="s">
        <v>345</v>
      </c>
    </row>
    <row r="559" spans="1:13" x14ac:dyDescent="0.25">
      <c r="A559" s="1" t="s">
        <v>1534</v>
      </c>
      <c r="B559" s="1" t="s">
        <v>376</v>
      </c>
      <c r="C559" s="1" t="s">
        <v>1535</v>
      </c>
      <c r="D559" s="1" t="s">
        <v>337</v>
      </c>
      <c r="E559" s="1" t="s">
        <v>16</v>
      </c>
      <c r="F559" s="1" t="s">
        <v>1494</v>
      </c>
      <c r="G559" s="1" t="s">
        <v>656</v>
      </c>
      <c r="H559" s="1" t="s">
        <v>570</v>
      </c>
      <c r="I559" s="1" t="s">
        <v>908</v>
      </c>
      <c r="J559" s="1" t="s">
        <v>1494</v>
      </c>
      <c r="K559" s="1" t="s">
        <v>16</v>
      </c>
      <c r="L559" s="5">
        <v>25000</v>
      </c>
      <c r="M559" s="1" t="s">
        <v>23</v>
      </c>
    </row>
    <row r="560" spans="1:13" x14ac:dyDescent="0.25">
      <c r="A560" s="1" t="s">
        <v>1863</v>
      </c>
      <c r="B560" s="1" t="s">
        <v>325</v>
      </c>
      <c r="C560" s="1" t="s">
        <v>1864</v>
      </c>
      <c r="D560" s="1" t="s">
        <v>337</v>
      </c>
      <c r="E560" s="1" t="s">
        <v>16</v>
      </c>
      <c r="F560" s="1" t="s">
        <v>340</v>
      </c>
      <c r="G560" s="1" t="s">
        <v>675</v>
      </c>
      <c r="H560" s="1" t="s">
        <v>570</v>
      </c>
      <c r="I560" s="1" t="s">
        <v>882</v>
      </c>
      <c r="J560" s="1" t="s">
        <v>1282</v>
      </c>
      <c r="K560" s="1" t="s">
        <v>658</v>
      </c>
      <c r="L560" s="5">
        <v>25000</v>
      </c>
      <c r="M560" s="1" t="s">
        <v>340</v>
      </c>
    </row>
    <row r="561" spans="1:13" x14ac:dyDescent="0.25">
      <c r="A561" s="1" t="s">
        <v>86</v>
      </c>
      <c r="B561" s="1" t="s">
        <v>331</v>
      </c>
      <c r="C561" s="1" t="s">
        <v>1714</v>
      </c>
      <c r="D561" s="1" t="s">
        <v>337</v>
      </c>
      <c r="E561" s="1" t="s">
        <v>16</v>
      </c>
      <c r="F561" s="1" t="s">
        <v>361</v>
      </c>
      <c r="G561" s="1" t="s">
        <v>791</v>
      </c>
      <c r="H561" s="1" t="s">
        <v>16</v>
      </c>
      <c r="I561" s="1" t="s">
        <v>606</v>
      </c>
      <c r="J561" s="1" t="s">
        <v>1666</v>
      </c>
      <c r="K561" s="1" t="s">
        <v>615</v>
      </c>
      <c r="L561" s="5">
        <v>50000</v>
      </c>
      <c r="M561" s="1" t="s">
        <v>361</v>
      </c>
    </row>
    <row r="562" spans="1:13" x14ac:dyDescent="0.25">
      <c r="A562" s="1" t="s">
        <v>116</v>
      </c>
      <c r="B562" s="1" t="s">
        <v>326</v>
      </c>
      <c r="C562" s="1" t="s">
        <v>1106</v>
      </c>
      <c r="D562" s="1" t="s">
        <v>551</v>
      </c>
      <c r="E562" s="1" t="s">
        <v>365</v>
      </c>
      <c r="F562" s="1" t="s">
        <v>1107</v>
      </c>
      <c r="G562" s="1" t="s">
        <v>791</v>
      </c>
      <c r="H562" s="1" t="s">
        <v>570</v>
      </c>
      <c r="I562" s="1" t="s">
        <v>1108</v>
      </c>
      <c r="J562" s="1" t="s">
        <v>598</v>
      </c>
      <c r="K562" s="1" t="s">
        <v>573</v>
      </c>
      <c r="L562" s="5">
        <v>150000</v>
      </c>
      <c r="M562" s="1" t="s">
        <v>338</v>
      </c>
    </row>
    <row r="563" spans="1:13" x14ac:dyDescent="0.25">
      <c r="A563" s="1" t="s">
        <v>895</v>
      </c>
      <c r="B563" s="1" t="s">
        <v>382</v>
      </c>
      <c r="C563" s="1" t="s">
        <v>914</v>
      </c>
      <c r="D563" s="1" t="s">
        <v>337</v>
      </c>
      <c r="E563" s="1" t="s">
        <v>16</v>
      </c>
      <c r="F563" s="1" t="s">
        <v>915</v>
      </c>
      <c r="G563" s="1" t="s">
        <v>580</v>
      </c>
      <c r="H563" s="1" t="s">
        <v>570</v>
      </c>
      <c r="I563" s="3">
        <v>43168</v>
      </c>
      <c r="J563" s="1" t="s">
        <v>916</v>
      </c>
      <c r="K563" s="1" t="s">
        <v>573</v>
      </c>
      <c r="L563" s="5">
        <v>250000</v>
      </c>
      <c r="M563" s="1" t="s">
        <v>332</v>
      </c>
    </row>
    <row r="564" spans="1:13" x14ac:dyDescent="0.25">
      <c r="A564" s="1" t="s">
        <v>1144</v>
      </c>
      <c r="B564" s="1" t="s">
        <v>324</v>
      </c>
      <c r="C564" s="1" t="s">
        <v>1190</v>
      </c>
      <c r="D564" s="1" t="s">
        <v>337</v>
      </c>
      <c r="E564" s="1" t="s">
        <v>16</v>
      </c>
      <c r="F564" s="1" t="s">
        <v>344</v>
      </c>
      <c r="G564" s="1" t="s">
        <v>769</v>
      </c>
      <c r="H564" s="1" t="s">
        <v>16</v>
      </c>
      <c r="I564" s="1" t="s">
        <v>606</v>
      </c>
      <c r="J564" s="1" t="s">
        <v>1143</v>
      </c>
      <c r="K564" s="1" t="s">
        <v>578</v>
      </c>
      <c r="L564" s="5" t="s">
        <v>16</v>
      </c>
      <c r="M564" s="1" t="s">
        <v>344</v>
      </c>
    </row>
    <row r="565" spans="1:13" x14ac:dyDescent="0.25">
      <c r="A565" s="1" t="s">
        <v>1478</v>
      </c>
      <c r="B565" s="1" t="s">
        <v>382</v>
      </c>
      <c r="C565" s="1" t="s">
        <v>1530</v>
      </c>
      <c r="D565" s="1" t="s">
        <v>337</v>
      </c>
      <c r="E565" s="1" t="s">
        <v>16</v>
      </c>
      <c r="F565" s="1" t="s">
        <v>23</v>
      </c>
      <c r="G565" s="1" t="s">
        <v>585</v>
      </c>
      <c r="H565" s="1" t="s">
        <v>570</v>
      </c>
      <c r="I565" s="1" t="s">
        <v>1493</v>
      </c>
      <c r="J565" s="1" t="s">
        <v>1494</v>
      </c>
      <c r="K565" s="1" t="s">
        <v>573</v>
      </c>
      <c r="L565" s="5">
        <v>25000</v>
      </c>
      <c r="M565" s="1" t="s">
        <v>23</v>
      </c>
    </row>
    <row r="566" spans="1:13" x14ac:dyDescent="0.25">
      <c r="A566" s="1" t="s">
        <v>219</v>
      </c>
      <c r="B566" s="1" t="s">
        <v>325</v>
      </c>
      <c r="C566" s="1" t="s">
        <v>1829</v>
      </c>
      <c r="D566" s="1" t="s">
        <v>337</v>
      </c>
      <c r="E566" s="1" t="s">
        <v>16</v>
      </c>
      <c r="F566" s="1" t="s">
        <v>1935</v>
      </c>
      <c r="G566" s="1" t="s">
        <v>575</v>
      </c>
      <c r="H566" s="1" t="s">
        <v>570</v>
      </c>
      <c r="I566" s="3">
        <v>44627</v>
      </c>
      <c r="J566" s="1" t="s">
        <v>724</v>
      </c>
      <c r="K566" s="1" t="s">
        <v>615</v>
      </c>
      <c r="L566" s="5">
        <v>300000</v>
      </c>
      <c r="M566" s="1" t="s">
        <v>319</v>
      </c>
    </row>
    <row r="567" spans="1:13" x14ac:dyDescent="0.25">
      <c r="A567" s="1" t="s">
        <v>29</v>
      </c>
      <c r="B567" s="1" t="s">
        <v>352</v>
      </c>
      <c r="C567" s="1" t="s">
        <v>1481</v>
      </c>
      <c r="D567" s="1" t="s">
        <v>391</v>
      </c>
      <c r="E567" s="1" t="s">
        <v>16</v>
      </c>
      <c r="F567" s="1" t="s">
        <v>23</v>
      </c>
      <c r="G567" s="1" t="s">
        <v>675</v>
      </c>
      <c r="H567" s="1" t="s">
        <v>570</v>
      </c>
      <c r="I567" s="1" t="s">
        <v>618</v>
      </c>
      <c r="J567" s="1" t="s">
        <v>1498</v>
      </c>
      <c r="K567" s="1" t="s">
        <v>615</v>
      </c>
      <c r="L567" s="5">
        <v>500000</v>
      </c>
      <c r="M567" s="1" t="s">
        <v>23</v>
      </c>
    </row>
    <row r="568" spans="1:13" x14ac:dyDescent="0.25">
      <c r="A568" s="1" t="s">
        <v>232</v>
      </c>
      <c r="B568" s="1" t="s">
        <v>330</v>
      </c>
      <c r="C568" s="1" t="s">
        <v>1984</v>
      </c>
      <c r="D568" s="1" t="s">
        <v>422</v>
      </c>
      <c r="E568" s="1" t="s">
        <v>16</v>
      </c>
      <c r="F568" s="1" t="s">
        <v>345</v>
      </c>
      <c r="G568" s="1" t="s">
        <v>702</v>
      </c>
      <c r="H568" s="1" t="s">
        <v>570</v>
      </c>
      <c r="I568" s="1" t="s">
        <v>1985</v>
      </c>
      <c r="J568" s="1" t="s">
        <v>1986</v>
      </c>
      <c r="K568" s="1" t="s">
        <v>578</v>
      </c>
      <c r="L568" s="5">
        <v>1000000</v>
      </c>
      <c r="M568" s="1" t="s">
        <v>345</v>
      </c>
    </row>
    <row r="569" spans="1:13" x14ac:dyDescent="0.25">
      <c r="A569" s="1" t="s">
        <v>491</v>
      </c>
      <c r="B569" s="1" t="s">
        <v>325</v>
      </c>
      <c r="C569" s="1" t="s">
        <v>2119</v>
      </c>
      <c r="D569" s="1" t="s">
        <v>337</v>
      </c>
      <c r="E569" s="1" t="s">
        <v>16</v>
      </c>
      <c r="F569" s="1" t="s">
        <v>632</v>
      </c>
      <c r="G569" s="1" t="s">
        <v>684</v>
      </c>
      <c r="H569" s="1" t="s">
        <v>570</v>
      </c>
      <c r="I569" s="1" t="s">
        <v>2080</v>
      </c>
      <c r="J569" s="1" t="s">
        <v>632</v>
      </c>
      <c r="K569" s="1" t="s">
        <v>573</v>
      </c>
      <c r="L569" s="5">
        <v>125000</v>
      </c>
      <c r="M569" s="1" t="s">
        <v>316</v>
      </c>
    </row>
    <row r="570" spans="1:13" x14ac:dyDescent="0.25">
      <c r="A570" s="1" t="s">
        <v>75</v>
      </c>
      <c r="B570" s="1" t="s">
        <v>382</v>
      </c>
      <c r="C570" s="1" t="s">
        <v>1689</v>
      </c>
      <c r="D570" s="1" t="s">
        <v>337</v>
      </c>
      <c r="E570" s="1" t="s">
        <v>16</v>
      </c>
      <c r="F570" s="1" t="s">
        <v>361</v>
      </c>
      <c r="G570" s="1" t="s">
        <v>580</v>
      </c>
      <c r="H570" s="1" t="s">
        <v>586</v>
      </c>
      <c r="I570" s="1" t="s">
        <v>1181</v>
      </c>
      <c r="J570" s="1" t="s">
        <v>1666</v>
      </c>
      <c r="K570" s="1" t="s">
        <v>16</v>
      </c>
      <c r="L570" s="5">
        <v>50000</v>
      </c>
      <c r="M570" s="1" t="s">
        <v>361</v>
      </c>
    </row>
    <row r="571" spans="1:13" x14ac:dyDescent="0.25">
      <c r="A571" s="1" t="s">
        <v>229</v>
      </c>
      <c r="B571" s="1" t="s">
        <v>352</v>
      </c>
      <c r="C571" s="1" t="s">
        <v>2001</v>
      </c>
      <c r="D571" s="1" t="s">
        <v>337</v>
      </c>
      <c r="E571" s="1" t="s">
        <v>16</v>
      </c>
      <c r="F571" s="1" t="s">
        <v>345</v>
      </c>
      <c r="G571" s="1" t="s">
        <v>702</v>
      </c>
      <c r="H571" s="1" t="s">
        <v>570</v>
      </c>
      <c r="I571" s="1" t="s">
        <v>592</v>
      </c>
      <c r="J571" s="1" t="s">
        <v>836</v>
      </c>
      <c r="K571" s="1" t="s">
        <v>615</v>
      </c>
      <c r="L571" s="5">
        <v>400000</v>
      </c>
      <c r="M571" s="1" t="s">
        <v>345</v>
      </c>
    </row>
    <row r="572" spans="1:13" x14ac:dyDescent="0.25">
      <c r="A572" s="1" t="s">
        <v>195</v>
      </c>
      <c r="B572" s="1" t="s">
        <v>359</v>
      </c>
      <c r="C572" s="1" t="s">
        <v>883</v>
      </c>
      <c r="D572" s="1" t="s">
        <v>337</v>
      </c>
      <c r="E572" s="1" t="s">
        <v>16</v>
      </c>
      <c r="F572" s="1" t="s">
        <v>332</v>
      </c>
      <c r="G572" s="1" t="s">
        <v>884</v>
      </c>
      <c r="H572" s="1" t="s">
        <v>605</v>
      </c>
      <c r="I572" s="1" t="s">
        <v>610</v>
      </c>
      <c r="J572" s="1" t="s">
        <v>885</v>
      </c>
      <c r="K572" s="1" t="s">
        <v>573</v>
      </c>
      <c r="L572" s="5">
        <v>1200000</v>
      </c>
      <c r="M572" s="1" t="s">
        <v>332</v>
      </c>
    </row>
    <row r="573" spans="1:13" x14ac:dyDescent="0.25">
      <c r="A573" s="1" t="s">
        <v>300</v>
      </c>
      <c r="B573" s="1" t="s">
        <v>326</v>
      </c>
      <c r="C573" s="1" t="s">
        <v>1843</v>
      </c>
      <c r="D573" s="1" t="s">
        <v>337</v>
      </c>
      <c r="E573" s="1" t="s">
        <v>16</v>
      </c>
      <c r="F573" s="1" t="s">
        <v>1282</v>
      </c>
      <c r="G573" s="1" t="s">
        <v>769</v>
      </c>
      <c r="H573" s="1" t="s">
        <v>16</v>
      </c>
      <c r="I573" s="1" t="s">
        <v>1006</v>
      </c>
      <c r="J573" s="1" t="s">
        <v>1282</v>
      </c>
      <c r="K573" s="1" t="s">
        <v>615</v>
      </c>
      <c r="L573" s="5">
        <v>150000</v>
      </c>
      <c r="M573" s="1" t="s">
        <v>340</v>
      </c>
    </row>
    <row r="574" spans="1:13" x14ac:dyDescent="0.25">
      <c r="A574" s="1" t="s">
        <v>445</v>
      </c>
      <c r="B574" s="1" t="s">
        <v>331</v>
      </c>
      <c r="C574" s="1" t="s">
        <v>1174</v>
      </c>
      <c r="D574" s="1" t="s">
        <v>337</v>
      </c>
      <c r="E574" s="1" t="s">
        <v>16</v>
      </c>
      <c r="F574" s="1" t="s">
        <v>1130</v>
      </c>
      <c r="G574" s="1" t="s">
        <v>675</v>
      </c>
      <c r="H574" s="1" t="s">
        <v>570</v>
      </c>
      <c r="I574" s="1" t="s">
        <v>1037</v>
      </c>
      <c r="J574" s="1" t="s">
        <v>338</v>
      </c>
      <c r="K574" s="1" t="s">
        <v>573</v>
      </c>
      <c r="L574" s="5">
        <v>400000</v>
      </c>
      <c r="M574" s="1" t="s">
        <v>344</v>
      </c>
    </row>
    <row r="575" spans="1:13" x14ac:dyDescent="0.25">
      <c r="A575" s="1" t="s">
        <v>671</v>
      </c>
      <c r="B575" s="1" t="s">
        <v>330</v>
      </c>
      <c r="C575" s="1" t="s">
        <v>672</v>
      </c>
      <c r="D575" s="1" t="s">
        <v>337</v>
      </c>
      <c r="E575" s="1" t="s">
        <v>16</v>
      </c>
      <c r="F575" s="1" t="s">
        <v>348</v>
      </c>
      <c r="G575" s="1" t="s">
        <v>617</v>
      </c>
      <c r="H575" s="1" t="s">
        <v>16</v>
      </c>
      <c r="I575" s="1" t="s">
        <v>634</v>
      </c>
      <c r="J575" s="1" t="s">
        <v>673</v>
      </c>
      <c r="K575" s="1" t="s">
        <v>573</v>
      </c>
      <c r="L575" s="5">
        <v>25000</v>
      </c>
      <c r="M575" s="1" t="s">
        <v>318</v>
      </c>
    </row>
    <row r="576" spans="1:13" x14ac:dyDescent="0.25">
      <c r="A576" s="1" t="s">
        <v>265</v>
      </c>
      <c r="B576" s="1" t="s">
        <v>331</v>
      </c>
      <c r="C576" s="1" t="s">
        <v>1351</v>
      </c>
      <c r="D576" s="1" t="s">
        <v>337</v>
      </c>
      <c r="E576" s="1" t="s">
        <v>16</v>
      </c>
      <c r="F576" s="1" t="s">
        <v>383</v>
      </c>
      <c r="G576" s="1" t="s">
        <v>678</v>
      </c>
      <c r="H576" s="1" t="s">
        <v>570</v>
      </c>
      <c r="I576" s="1" t="s">
        <v>2162</v>
      </c>
      <c r="J576" s="1" t="s">
        <v>2144</v>
      </c>
      <c r="K576" s="1" t="s">
        <v>651</v>
      </c>
      <c r="L576" s="5">
        <v>300000</v>
      </c>
      <c r="M576" s="1" t="s">
        <v>383</v>
      </c>
    </row>
    <row r="577" spans="1:13" x14ac:dyDescent="0.25">
      <c r="A577" s="1" t="s">
        <v>1577</v>
      </c>
      <c r="B577" s="1" t="s">
        <v>0</v>
      </c>
      <c r="C577" s="1" t="s">
        <v>1393</v>
      </c>
      <c r="D577" s="1" t="s">
        <v>337</v>
      </c>
      <c r="E577" s="1" t="s">
        <v>16</v>
      </c>
      <c r="F577" s="1" t="s">
        <v>349</v>
      </c>
      <c r="G577" s="1" t="s">
        <v>609</v>
      </c>
      <c r="H577" s="1" t="s">
        <v>16</v>
      </c>
      <c r="I577" s="1" t="s">
        <v>1200</v>
      </c>
      <c r="J577" s="1" t="s">
        <v>1594</v>
      </c>
      <c r="K577" s="1" t="s">
        <v>615</v>
      </c>
      <c r="L577" s="5" t="s">
        <v>16</v>
      </c>
      <c r="M577" s="1" t="s">
        <v>349</v>
      </c>
    </row>
    <row r="578" spans="1:13" x14ac:dyDescent="0.25">
      <c r="A578" s="1" t="s">
        <v>360</v>
      </c>
      <c r="B578" s="1" t="s">
        <v>727</v>
      </c>
      <c r="C578" s="1" t="s">
        <v>655</v>
      </c>
      <c r="D578" s="1" t="s">
        <v>337</v>
      </c>
      <c r="E578" s="1" t="s">
        <v>16</v>
      </c>
      <c r="F578" s="1" t="s">
        <v>318</v>
      </c>
      <c r="G578" s="1" t="s">
        <v>656</v>
      </c>
      <c r="H578" s="1" t="s">
        <v>16</v>
      </c>
      <c r="I578" s="1" t="s">
        <v>657</v>
      </c>
      <c r="J578" s="1" t="s">
        <v>344</v>
      </c>
      <c r="K578" s="1" t="s">
        <v>658</v>
      </c>
      <c r="L578" s="5">
        <v>800000</v>
      </c>
      <c r="M578" s="1" t="s">
        <v>318</v>
      </c>
    </row>
    <row r="579" spans="1:13" x14ac:dyDescent="0.25">
      <c r="A579" s="1" t="s">
        <v>360</v>
      </c>
      <c r="B579" s="1" t="s">
        <v>331</v>
      </c>
      <c r="C579" s="1" t="s">
        <v>655</v>
      </c>
      <c r="D579" s="1" t="s">
        <v>337</v>
      </c>
      <c r="E579" s="1" t="s">
        <v>16</v>
      </c>
      <c r="F579" s="1" t="s">
        <v>318</v>
      </c>
      <c r="G579" s="1" t="s">
        <v>656</v>
      </c>
      <c r="H579" s="1" t="s">
        <v>16</v>
      </c>
      <c r="I579" s="1" t="s">
        <v>610</v>
      </c>
      <c r="J579" s="1" t="s">
        <v>1171</v>
      </c>
      <c r="K579" s="1" t="s">
        <v>658</v>
      </c>
      <c r="L579" s="5">
        <v>800000</v>
      </c>
      <c r="M579" s="1" t="s">
        <v>344</v>
      </c>
    </row>
    <row r="580" spans="1:13" x14ac:dyDescent="0.25">
      <c r="A580" s="1" t="s">
        <v>301</v>
      </c>
      <c r="B580" s="1" t="s">
        <v>328</v>
      </c>
      <c r="C580" s="1" t="s">
        <v>1844</v>
      </c>
      <c r="D580" s="1" t="s">
        <v>337</v>
      </c>
      <c r="E580" s="1" t="s">
        <v>16</v>
      </c>
      <c r="F580" s="1" t="s">
        <v>1845</v>
      </c>
      <c r="G580" s="1" t="s">
        <v>709</v>
      </c>
      <c r="H580" s="1" t="s">
        <v>586</v>
      </c>
      <c r="I580" s="1" t="s">
        <v>1846</v>
      </c>
      <c r="J580" s="1" t="s">
        <v>348</v>
      </c>
      <c r="K580" s="1" t="s">
        <v>578</v>
      </c>
      <c r="L580" s="5">
        <v>1500000</v>
      </c>
      <c r="M580" s="1" t="s">
        <v>340</v>
      </c>
    </row>
    <row r="581" spans="1:13" x14ac:dyDescent="0.25">
      <c r="A581" s="1" t="s">
        <v>1287</v>
      </c>
      <c r="B581" s="1" t="s">
        <v>325</v>
      </c>
      <c r="C581" s="1" t="s">
        <v>1288</v>
      </c>
      <c r="D581" s="1" t="s">
        <v>337</v>
      </c>
      <c r="E581" s="1" t="s">
        <v>16</v>
      </c>
      <c r="F581" s="1" t="s">
        <v>964</v>
      </c>
      <c r="G581" s="1" t="s">
        <v>617</v>
      </c>
      <c r="H581" s="1" t="s">
        <v>570</v>
      </c>
      <c r="I581" s="1" t="s">
        <v>874</v>
      </c>
      <c r="J581" s="1" t="s">
        <v>344</v>
      </c>
      <c r="K581" s="1" t="s">
        <v>573</v>
      </c>
      <c r="L581" s="5">
        <v>100000</v>
      </c>
      <c r="M581" s="1" t="s">
        <v>339</v>
      </c>
    </row>
    <row r="582" spans="1:13" x14ac:dyDescent="0.25">
      <c r="A582" s="1" t="s">
        <v>764</v>
      </c>
      <c r="B582" s="1" t="s">
        <v>382</v>
      </c>
      <c r="C582" s="1" t="s">
        <v>765</v>
      </c>
      <c r="D582" s="1" t="s">
        <v>337</v>
      </c>
      <c r="E582" s="1" t="s">
        <v>16</v>
      </c>
      <c r="F582" s="1" t="s">
        <v>829</v>
      </c>
      <c r="G582" s="1" t="s">
        <v>591</v>
      </c>
      <c r="H582" s="1" t="s">
        <v>586</v>
      </c>
      <c r="I582" s="1" t="s">
        <v>16</v>
      </c>
      <c r="J582" s="1"/>
      <c r="K582" s="1" t="s">
        <v>16</v>
      </c>
      <c r="L582" s="5" t="s">
        <v>16</v>
      </c>
      <c r="M582" s="1" t="s">
        <v>334</v>
      </c>
    </row>
    <row r="583" spans="1:13" x14ac:dyDescent="0.25">
      <c r="A583" s="1" t="s">
        <v>42</v>
      </c>
      <c r="B583" s="1" t="s">
        <v>359</v>
      </c>
      <c r="C583" s="1" t="s">
        <v>1482</v>
      </c>
      <c r="D583" s="1" t="s">
        <v>337</v>
      </c>
      <c r="E583" s="1" t="s">
        <v>16</v>
      </c>
      <c r="F583" s="1" t="s">
        <v>23</v>
      </c>
      <c r="G583" s="1" t="s">
        <v>612</v>
      </c>
      <c r="H583" s="1" t="s">
        <v>586</v>
      </c>
      <c r="I583" s="1" t="s">
        <v>1502</v>
      </c>
      <c r="J583" s="1" t="s">
        <v>1494</v>
      </c>
      <c r="K583" s="1" t="s">
        <v>615</v>
      </c>
      <c r="L583" s="5">
        <v>150000</v>
      </c>
      <c r="M583" s="1" t="s">
        <v>23</v>
      </c>
    </row>
    <row r="584" spans="1:13" x14ac:dyDescent="0.25">
      <c r="A584" s="1" t="s">
        <v>544</v>
      </c>
      <c r="B584" s="1" t="s">
        <v>0</v>
      </c>
      <c r="C584" s="1" t="s">
        <v>2035</v>
      </c>
      <c r="D584" s="1" t="s">
        <v>548</v>
      </c>
      <c r="E584" s="1" t="s">
        <v>16</v>
      </c>
      <c r="F584" s="1" t="s">
        <v>317</v>
      </c>
      <c r="G584" s="1" t="s">
        <v>569</v>
      </c>
      <c r="H584" s="1" t="s">
        <v>570</v>
      </c>
      <c r="I584" s="1" t="s">
        <v>942</v>
      </c>
      <c r="J584" s="1" t="s">
        <v>2036</v>
      </c>
      <c r="K584" s="1" t="s">
        <v>573</v>
      </c>
      <c r="L584" s="5">
        <v>500000</v>
      </c>
      <c r="M584" s="1" t="s">
        <v>316</v>
      </c>
    </row>
    <row r="585" spans="1:13" x14ac:dyDescent="0.25">
      <c r="A585" s="1" t="s">
        <v>74</v>
      </c>
      <c r="B585" s="1" t="s">
        <v>0</v>
      </c>
      <c r="C585" s="1" t="s">
        <v>1667</v>
      </c>
      <c r="D585" s="1" t="s">
        <v>343</v>
      </c>
      <c r="E585" s="1" t="s">
        <v>16</v>
      </c>
      <c r="F585" s="1" t="s">
        <v>1668</v>
      </c>
      <c r="G585" s="1" t="s">
        <v>585</v>
      </c>
      <c r="H585" s="1" t="s">
        <v>570</v>
      </c>
      <c r="I585" s="1" t="s">
        <v>592</v>
      </c>
      <c r="J585" s="1" t="s">
        <v>1107</v>
      </c>
      <c r="K585" s="1" t="s">
        <v>573</v>
      </c>
      <c r="L585" s="5">
        <v>100000</v>
      </c>
      <c r="M585" s="1" t="s">
        <v>361</v>
      </c>
    </row>
    <row r="586" spans="1:13" x14ac:dyDescent="0.25">
      <c r="A586" s="1" t="s">
        <v>2222</v>
      </c>
      <c r="B586" s="1" t="s">
        <v>382</v>
      </c>
      <c r="C586" s="1" t="s">
        <v>2223</v>
      </c>
      <c r="D586" s="1" t="s">
        <v>337</v>
      </c>
      <c r="E586" s="1" t="s">
        <v>16</v>
      </c>
      <c r="F586" s="1" t="s">
        <v>708</v>
      </c>
      <c r="G586" s="1" t="s">
        <v>585</v>
      </c>
      <c r="H586" s="1" t="s">
        <v>570</v>
      </c>
      <c r="I586" s="1" t="s">
        <v>597</v>
      </c>
      <c r="J586" s="1" t="s">
        <v>836</v>
      </c>
      <c r="K586" s="1" t="s">
        <v>615</v>
      </c>
      <c r="L586" s="5">
        <v>100000</v>
      </c>
      <c r="M586" s="1" t="s">
        <v>348</v>
      </c>
    </row>
    <row r="587" spans="1:13" x14ac:dyDescent="0.25">
      <c r="A587" s="1" t="s">
        <v>2125</v>
      </c>
      <c r="B587" s="1" t="s">
        <v>0</v>
      </c>
      <c r="C587" s="1" t="s">
        <v>2126</v>
      </c>
      <c r="D587" s="1" t="s">
        <v>337</v>
      </c>
      <c r="E587" s="1" t="s">
        <v>16</v>
      </c>
      <c r="F587" s="1" t="s">
        <v>2127</v>
      </c>
      <c r="G587" s="1" t="s">
        <v>609</v>
      </c>
      <c r="H587" s="1" t="s">
        <v>570</v>
      </c>
      <c r="I587" s="1" t="s">
        <v>2128</v>
      </c>
      <c r="J587" s="1" t="s">
        <v>2129</v>
      </c>
      <c r="K587" s="1" t="s">
        <v>573</v>
      </c>
      <c r="L587" s="5">
        <v>75000</v>
      </c>
      <c r="M587" s="1" t="s">
        <v>383</v>
      </c>
    </row>
    <row r="588" spans="1:13" x14ac:dyDescent="0.25">
      <c r="A588" s="1" t="s">
        <v>2142</v>
      </c>
      <c r="B588" s="1" t="s">
        <v>382</v>
      </c>
      <c r="C588" s="1" t="s">
        <v>2143</v>
      </c>
      <c r="D588" s="1" t="s">
        <v>337</v>
      </c>
      <c r="E588" s="1" t="s">
        <v>16</v>
      </c>
      <c r="F588" s="1" t="s">
        <v>1060</v>
      </c>
      <c r="G588" s="1" t="s">
        <v>591</v>
      </c>
      <c r="H588" s="1" t="s">
        <v>586</v>
      </c>
      <c r="I588" s="1" t="s">
        <v>919</v>
      </c>
      <c r="J588" s="1" t="s">
        <v>2144</v>
      </c>
      <c r="K588" s="1" t="s">
        <v>573</v>
      </c>
      <c r="L588" s="5" t="s">
        <v>16</v>
      </c>
      <c r="M588" s="1" t="s">
        <v>383</v>
      </c>
    </row>
    <row r="589" spans="1:13" x14ac:dyDescent="0.25">
      <c r="A589" s="1" t="s">
        <v>1705</v>
      </c>
      <c r="B589" s="1" t="s">
        <v>376</v>
      </c>
      <c r="C589" s="1" t="s">
        <v>1706</v>
      </c>
      <c r="D589" s="1" t="s">
        <v>337</v>
      </c>
      <c r="E589" s="1" t="s">
        <v>16</v>
      </c>
      <c r="F589" s="1" t="s">
        <v>361</v>
      </c>
      <c r="G589" s="1" t="s">
        <v>702</v>
      </c>
      <c r="H589" s="1" t="s">
        <v>570</v>
      </c>
      <c r="I589" s="1" t="s">
        <v>1606</v>
      </c>
      <c r="J589" s="1" t="s">
        <v>1672</v>
      </c>
      <c r="K589" s="1" t="s">
        <v>615</v>
      </c>
      <c r="L589" s="5">
        <v>200000</v>
      </c>
      <c r="M589" s="1" t="s">
        <v>361</v>
      </c>
    </row>
    <row r="590" spans="1:13" x14ac:dyDescent="0.25">
      <c r="A590" s="1" t="s">
        <v>1382</v>
      </c>
      <c r="B590" s="1" t="s">
        <v>0</v>
      </c>
      <c r="C590" s="1" t="s">
        <v>1383</v>
      </c>
      <c r="D590" s="1" t="s">
        <v>337</v>
      </c>
      <c r="E590" s="1" t="s">
        <v>16</v>
      </c>
      <c r="F590" s="1" t="s">
        <v>317</v>
      </c>
      <c r="G590" s="1" t="s">
        <v>591</v>
      </c>
      <c r="H590" s="1" t="s">
        <v>16</v>
      </c>
      <c r="I590" s="1" t="s">
        <v>618</v>
      </c>
      <c r="J590" s="1" t="s">
        <v>964</v>
      </c>
      <c r="K590" s="1" t="s">
        <v>573</v>
      </c>
      <c r="L590" s="5">
        <v>100000</v>
      </c>
      <c r="M590" s="1" t="s">
        <v>317</v>
      </c>
    </row>
    <row r="591" spans="1:13" x14ac:dyDescent="0.25">
      <c r="A591" s="1" t="s">
        <v>534</v>
      </c>
      <c r="B591" s="1" t="s">
        <v>376</v>
      </c>
      <c r="C591" s="1" t="s">
        <v>1002</v>
      </c>
      <c r="D591" s="1" t="s">
        <v>337</v>
      </c>
      <c r="E591" s="1" t="s">
        <v>16</v>
      </c>
      <c r="F591" s="1" t="s">
        <v>341</v>
      </c>
      <c r="G591" s="1" t="s">
        <v>775</v>
      </c>
      <c r="H591" s="1" t="s">
        <v>570</v>
      </c>
      <c r="I591" s="1" t="s">
        <v>780</v>
      </c>
      <c r="J591" s="1" t="s">
        <v>318</v>
      </c>
      <c r="K591" s="1" t="s">
        <v>615</v>
      </c>
      <c r="L591" s="5">
        <v>400000</v>
      </c>
      <c r="M591" s="1" t="s">
        <v>341</v>
      </c>
    </row>
    <row r="592" spans="1:13" x14ac:dyDescent="0.25">
      <c r="A592" s="1" t="s">
        <v>2270</v>
      </c>
      <c r="B592" s="1" t="s">
        <v>325</v>
      </c>
      <c r="C592" s="1" t="s">
        <v>2271</v>
      </c>
      <c r="D592" s="1" t="s">
        <v>337</v>
      </c>
      <c r="E592" s="1" t="s">
        <v>16</v>
      </c>
      <c r="F592" s="1" t="s">
        <v>960</v>
      </c>
      <c r="G592" s="1" t="s">
        <v>775</v>
      </c>
      <c r="H592" s="1" t="s">
        <v>570</v>
      </c>
      <c r="I592" s="1" t="s">
        <v>2272</v>
      </c>
      <c r="J592" s="1" t="s">
        <v>708</v>
      </c>
      <c r="K592" s="1" t="s">
        <v>573</v>
      </c>
      <c r="L592" s="5">
        <v>100000</v>
      </c>
      <c r="M592" s="1" t="s">
        <v>348</v>
      </c>
    </row>
    <row r="593" spans="1:13" x14ac:dyDescent="0.25">
      <c r="A593" s="1" t="s">
        <v>354</v>
      </c>
      <c r="B593" s="1" t="s">
        <v>352</v>
      </c>
      <c r="C593" s="1" t="s">
        <v>674</v>
      </c>
      <c r="D593" s="1" t="s">
        <v>337</v>
      </c>
      <c r="E593" s="1" t="s">
        <v>16</v>
      </c>
      <c r="F593" s="1" t="s">
        <v>318</v>
      </c>
      <c r="G593" s="1" t="s">
        <v>675</v>
      </c>
      <c r="H593" s="1" t="s">
        <v>570</v>
      </c>
      <c r="I593" s="1" t="s">
        <v>676</v>
      </c>
      <c r="J593" s="1" t="s">
        <v>640</v>
      </c>
      <c r="K593" s="1" t="s">
        <v>578</v>
      </c>
      <c r="L593" s="5">
        <v>1200000</v>
      </c>
      <c r="M593" s="1" t="s">
        <v>318</v>
      </c>
    </row>
    <row r="594" spans="1:13" x14ac:dyDescent="0.25">
      <c r="A594" s="1" t="s">
        <v>2077</v>
      </c>
      <c r="B594" s="1" t="s">
        <v>331</v>
      </c>
      <c r="C594" s="1" t="s">
        <v>2078</v>
      </c>
      <c r="D594" s="1" t="s">
        <v>337</v>
      </c>
      <c r="E594" s="1" t="s">
        <v>16</v>
      </c>
      <c r="F594" s="1" t="s">
        <v>319</v>
      </c>
      <c r="G594" s="1" t="s">
        <v>702</v>
      </c>
      <c r="H594" s="1" t="s">
        <v>605</v>
      </c>
      <c r="I594" s="1" t="s">
        <v>922</v>
      </c>
      <c r="J594" s="1" t="s">
        <v>340</v>
      </c>
      <c r="K594" s="1" t="s">
        <v>615</v>
      </c>
      <c r="L594" s="5">
        <v>75000</v>
      </c>
      <c r="M594" s="1" t="s">
        <v>316</v>
      </c>
    </row>
    <row r="595" spans="1:13" x14ac:dyDescent="0.25">
      <c r="A595" s="1" t="s">
        <v>96</v>
      </c>
      <c r="B595" s="1" t="s">
        <v>357</v>
      </c>
      <c r="C595" s="1" t="s">
        <v>766</v>
      </c>
      <c r="D595" s="1" t="s">
        <v>336</v>
      </c>
      <c r="E595" s="1" t="s">
        <v>16</v>
      </c>
      <c r="F595" s="1" t="s">
        <v>334</v>
      </c>
      <c r="G595" s="1" t="s">
        <v>767</v>
      </c>
      <c r="H595" s="1" t="s">
        <v>586</v>
      </c>
      <c r="I595" s="1" t="s">
        <v>613</v>
      </c>
      <c r="J595" s="1" t="s">
        <v>837</v>
      </c>
      <c r="K595" s="1" t="s">
        <v>573</v>
      </c>
      <c r="L595" s="5">
        <v>1500000</v>
      </c>
      <c r="M595" s="1" t="s">
        <v>334</v>
      </c>
    </row>
    <row r="596" spans="1:13" x14ac:dyDescent="0.25">
      <c r="A596" s="1" t="s">
        <v>102</v>
      </c>
      <c r="B596" s="1" t="s">
        <v>330</v>
      </c>
      <c r="C596" s="1" t="s">
        <v>788</v>
      </c>
      <c r="D596" s="1" t="s">
        <v>336</v>
      </c>
      <c r="E596" s="1" t="s">
        <v>16</v>
      </c>
      <c r="F596" s="1" t="s">
        <v>849</v>
      </c>
      <c r="G596" s="1" t="s">
        <v>678</v>
      </c>
      <c r="H596" s="1" t="s">
        <v>570</v>
      </c>
      <c r="I596" s="1" t="s">
        <v>789</v>
      </c>
      <c r="J596" s="1" t="s">
        <v>850</v>
      </c>
      <c r="K596" s="1" t="s">
        <v>615</v>
      </c>
      <c r="L596" s="5">
        <v>600000</v>
      </c>
      <c r="M596" s="1" t="s">
        <v>334</v>
      </c>
    </row>
    <row r="597" spans="1:13" x14ac:dyDescent="0.25">
      <c r="A597" s="1" t="s">
        <v>902</v>
      </c>
      <c r="B597" s="1" t="s">
        <v>326</v>
      </c>
      <c r="C597" s="1" t="s">
        <v>959</v>
      </c>
      <c r="D597" s="1" t="s">
        <v>336</v>
      </c>
      <c r="E597" s="1" t="s">
        <v>16</v>
      </c>
      <c r="F597" s="1" t="s">
        <v>960</v>
      </c>
      <c r="G597" s="1" t="s">
        <v>580</v>
      </c>
      <c r="H597" s="1" t="s">
        <v>570</v>
      </c>
      <c r="I597" s="1" t="s">
        <v>961</v>
      </c>
      <c r="J597" s="1" t="s">
        <v>962</v>
      </c>
      <c r="K597" s="1" t="s">
        <v>573</v>
      </c>
      <c r="L597" s="5">
        <v>25000</v>
      </c>
      <c r="M597" s="1" t="s">
        <v>332</v>
      </c>
    </row>
    <row r="598" spans="1:13" x14ac:dyDescent="0.25">
      <c r="A598" s="1" t="s">
        <v>41</v>
      </c>
      <c r="B598" s="1" t="s">
        <v>324</v>
      </c>
      <c r="C598" s="1" t="s">
        <v>1555</v>
      </c>
      <c r="D598" s="1" t="s">
        <v>365</v>
      </c>
      <c r="E598" s="1" t="s">
        <v>16</v>
      </c>
      <c r="F598" s="1" t="s">
        <v>828</v>
      </c>
      <c r="G598" s="1" t="s">
        <v>591</v>
      </c>
      <c r="H598" s="1" t="s">
        <v>570</v>
      </c>
      <c r="I598" s="1" t="s">
        <v>597</v>
      </c>
      <c r="J598" s="1" t="s">
        <v>828</v>
      </c>
      <c r="K598" s="1" t="s">
        <v>578</v>
      </c>
      <c r="L598" s="5">
        <v>1800000</v>
      </c>
      <c r="M598" s="1" t="s">
        <v>23</v>
      </c>
    </row>
    <row r="599" spans="1:13" x14ac:dyDescent="0.25">
      <c r="A599" s="1" t="s">
        <v>235</v>
      </c>
      <c r="B599" s="1" t="s">
        <v>330</v>
      </c>
      <c r="C599" s="1" t="s">
        <v>1987</v>
      </c>
      <c r="D599" s="1" t="s">
        <v>362</v>
      </c>
      <c r="E599" s="1" t="s">
        <v>16</v>
      </c>
      <c r="F599" s="1" t="s">
        <v>345</v>
      </c>
      <c r="G599" s="1" t="s">
        <v>678</v>
      </c>
      <c r="H599" s="1" t="s">
        <v>570</v>
      </c>
      <c r="I599" s="1" t="s">
        <v>618</v>
      </c>
      <c r="J599" s="1" t="s">
        <v>332</v>
      </c>
      <c r="K599" s="1" t="s">
        <v>573</v>
      </c>
      <c r="L599" s="5">
        <v>600000</v>
      </c>
      <c r="M599" s="1" t="s">
        <v>345</v>
      </c>
    </row>
    <row r="600" spans="1:13" x14ac:dyDescent="0.25">
      <c r="A600" s="1" t="s">
        <v>70</v>
      </c>
      <c r="B600" s="1" t="s">
        <v>325</v>
      </c>
      <c r="C600" s="1" t="s">
        <v>1458</v>
      </c>
      <c r="D600" s="1" t="s">
        <v>337</v>
      </c>
      <c r="E600" s="1" t="s">
        <v>16</v>
      </c>
      <c r="F600" s="1" t="s">
        <v>317</v>
      </c>
      <c r="G600" s="1" t="s">
        <v>609</v>
      </c>
      <c r="H600" s="1" t="s">
        <v>586</v>
      </c>
      <c r="I600" s="1" t="s">
        <v>597</v>
      </c>
      <c r="J600" s="1" t="s">
        <v>1459</v>
      </c>
      <c r="K600" s="1" t="s">
        <v>573</v>
      </c>
      <c r="L600" s="5">
        <v>300000</v>
      </c>
      <c r="M600" s="1" t="s">
        <v>317</v>
      </c>
    </row>
    <row r="601" spans="1:13" x14ac:dyDescent="0.25">
      <c r="A601" s="1" t="s">
        <v>169</v>
      </c>
      <c r="B601" s="1" t="s">
        <v>325</v>
      </c>
      <c r="C601" s="1" t="s">
        <v>1042</v>
      </c>
      <c r="D601" s="1" t="s">
        <v>337</v>
      </c>
      <c r="E601" s="1" t="s">
        <v>365</v>
      </c>
      <c r="F601" s="1" t="s">
        <v>1043</v>
      </c>
      <c r="G601" s="1" t="s">
        <v>585</v>
      </c>
      <c r="H601" s="1" t="s">
        <v>605</v>
      </c>
      <c r="I601" s="1" t="s">
        <v>1044</v>
      </c>
      <c r="J601" s="1" t="s">
        <v>1045</v>
      </c>
      <c r="K601" s="1" t="s">
        <v>615</v>
      </c>
      <c r="L601" s="5">
        <v>400000</v>
      </c>
      <c r="M601" s="1" t="s">
        <v>341</v>
      </c>
    </row>
    <row r="602" spans="1:13" x14ac:dyDescent="0.25">
      <c r="A602" s="1" t="s">
        <v>2020</v>
      </c>
      <c r="B602" s="1" t="s">
        <v>324</v>
      </c>
      <c r="C602" s="1" t="s">
        <v>2021</v>
      </c>
      <c r="D602" s="1" t="s">
        <v>337</v>
      </c>
      <c r="E602" s="1" t="s">
        <v>16</v>
      </c>
      <c r="F602" s="1" t="s">
        <v>345</v>
      </c>
      <c r="G602" s="1" t="s">
        <v>775</v>
      </c>
      <c r="H602" s="1" t="s">
        <v>586</v>
      </c>
      <c r="I602" s="1" t="s">
        <v>1086</v>
      </c>
      <c r="J602" s="1" t="s">
        <v>2022</v>
      </c>
      <c r="K602" s="1" t="s">
        <v>615</v>
      </c>
      <c r="L602" s="5">
        <v>50000</v>
      </c>
      <c r="M602" s="1" t="s">
        <v>345</v>
      </c>
    </row>
    <row r="603" spans="1:13" x14ac:dyDescent="0.25">
      <c r="A603" s="1" t="s">
        <v>2180</v>
      </c>
      <c r="B603" s="1" t="s">
        <v>326</v>
      </c>
      <c r="C603" s="1" t="s">
        <v>2181</v>
      </c>
      <c r="D603" s="1" t="s">
        <v>337</v>
      </c>
      <c r="E603" s="1" t="s">
        <v>16</v>
      </c>
      <c r="F603" s="1" t="s">
        <v>383</v>
      </c>
      <c r="G603" s="1" t="s">
        <v>641</v>
      </c>
      <c r="H603" s="1" t="s">
        <v>570</v>
      </c>
      <c r="I603" s="1" t="s">
        <v>782</v>
      </c>
      <c r="J603" s="1" t="s">
        <v>2144</v>
      </c>
      <c r="K603" s="1" t="s">
        <v>588</v>
      </c>
      <c r="L603" s="5">
        <v>250000</v>
      </c>
      <c r="M603" s="1" t="s">
        <v>383</v>
      </c>
    </row>
    <row r="604" spans="1:13" x14ac:dyDescent="0.25">
      <c r="A604" s="1" t="s">
        <v>281</v>
      </c>
      <c r="B604" s="1" t="s">
        <v>357</v>
      </c>
      <c r="C604" s="1" t="s">
        <v>1250</v>
      </c>
      <c r="D604" s="1" t="s">
        <v>337</v>
      </c>
      <c r="E604" s="1" t="s">
        <v>16</v>
      </c>
      <c r="F604" s="1" t="s">
        <v>339</v>
      </c>
      <c r="G604" s="1" t="s">
        <v>709</v>
      </c>
      <c r="H604" s="1" t="s">
        <v>586</v>
      </c>
      <c r="I604" s="1" t="s">
        <v>597</v>
      </c>
      <c r="J604" s="1" t="s">
        <v>334</v>
      </c>
      <c r="K604" s="1" t="s">
        <v>573</v>
      </c>
      <c r="L604" s="5">
        <v>250000</v>
      </c>
      <c r="M604" s="1" t="s">
        <v>339</v>
      </c>
    </row>
    <row r="605" spans="1:13" x14ac:dyDescent="0.25">
      <c r="A605" s="1" t="s">
        <v>312</v>
      </c>
      <c r="B605" s="1" t="s">
        <v>331</v>
      </c>
      <c r="C605" s="1" t="s">
        <v>2067</v>
      </c>
      <c r="D605" s="1" t="s">
        <v>337</v>
      </c>
      <c r="E605" s="1" t="s">
        <v>16</v>
      </c>
      <c r="F605" s="1" t="s">
        <v>319</v>
      </c>
      <c r="G605" s="1" t="s">
        <v>617</v>
      </c>
      <c r="H605" s="1" t="s">
        <v>570</v>
      </c>
      <c r="I605" s="1" t="s">
        <v>2068</v>
      </c>
      <c r="J605" s="1" t="s">
        <v>361</v>
      </c>
      <c r="K605" s="1" t="s">
        <v>615</v>
      </c>
      <c r="L605" s="5">
        <v>300000</v>
      </c>
      <c r="M605" s="1" t="s">
        <v>316</v>
      </c>
    </row>
    <row r="606" spans="1:13" x14ac:dyDescent="0.25">
      <c r="A606" s="1" t="s">
        <v>1227</v>
      </c>
      <c r="B606" s="1" t="s">
        <v>0</v>
      </c>
      <c r="C606" s="1" t="s">
        <v>1228</v>
      </c>
      <c r="D606" s="1" t="s">
        <v>337</v>
      </c>
      <c r="E606" s="1" t="s">
        <v>16</v>
      </c>
      <c r="F606" s="1" t="s">
        <v>1222</v>
      </c>
      <c r="G606" s="1" t="s">
        <v>580</v>
      </c>
      <c r="H606" s="1" t="s">
        <v>16</v>
      </c>
      <c r="I606" s="1" t="s">
        <v>1229</v>
      </c>
      <c r="J606" s="1" t="s">
        <v>1226</v>
      </c>
      <c r="K606" s="1" t="s">
        <v>573</v>
      </c>
      <c r="L606" s="5">
        <v>25000</v>
      </c>
      <c r="M606" s="1" t="s">
        <v>339</v>
      </c>
    </row>
    <row r="607" spans="1:13" x14ac:dyDescent="0.25">
      <c r="A607" s="1" t="s">
        <v>380</v>
      </c>
      <c r="B607" s="1" t="s">
        <v>325</v>
      </c>
      <c r="C607" s="1" t="s">
        <v>2267</v>
      </c>
      <c r="D607" s="1" t="s">
        <v>337</v>
      </c>
      <c r="E607" s="1" t="s">
        <v>16</v>
      </c>
      <c r="F607" s="1" t="s">
        <v>2268</v>
      </c>
      <c r="G607" s="1" t="s">
        <v>633</v>
      </c>
      <c r="H607" s="1" t="s">
        <v>570</v>
      </c>
      <c r="I607" s="1" t="s">
        <v>2269</v>
      </c>
      <c r="J607" s="1" t="s">
        <v>1130</v>
      </c>
      <c r="K607" s="1" t="s">
        <v>658</v>
      </c>
      <c r="L607" s="5">
        <v>250000</v>
      </c>
      <c r="M607" s="1" t="s">
        <v>348</v>
      </c>
    </row>
    <row r="608" spans="1:13" x14ac:dyDescent="0.25">
      <c r="A608" s="1" t="s">
        <v>2023</v>
      </c>
      <c r="B608" s="1" t="s">
        <v>324</v>
      </c>
      <c r="C608" s="1" t="s">
        <v>2024</v>
      </c>
      <c r="D608" s="1" t="s">
        <v>337</v>
      </c>
      <c r="E608" s="1" t="s">
        <v>16</v>
      </c>
      <c r="F608" s="1" t="s">
        <v>345</v>
      </c>
      <c r="G608" s="1" t="s">
        <v>646</v>
      </c>
      <c r="H608" s="1" t="s">
        <v>570</v>
      </c>
      <c r="I608" s="1" t="s">
        <v>1179</v>
      </c>
      <c r="J608" s="1" t="s">
        <v>1432</v>
      </c>
      <c r="K608" s="1" t="s">
        <v>615</v>
      </c>
      <c r="L608" s="5">
        <v>50000</v>
      </c>
      <c r="M608" s="1" t="s">
        <v>345</v>
      </c>
    </row>
    <row r="609" spans="1:13" x14ac:dyDescent="0.25">
      <c r="A609" s="1" t="s">
        <v>1485</v>
      </c>
      <c r="B609" s="1" t="s">
        <v>324</v>
      </c>
      <c r="C609" s="1" t="s">
        <v>1486</v>
      </c>
      <c r="D609" s="1" t="s">
        <v>337</v>
      </c>
      <c r="E609" s="1" t="s">
        <v>16</v>
      </c>
      <c r="F609" s="1" t="s">
        <v>23</v>
      </c>
      <c r="G609" s="1" t="s">
        <v>702</v>
      </c>
      <c r="H609" s="1" t="s">
        <v>570</v>
      </c>
      <c r="I609" s="1" t="s">
        <v>1504</v>
      </c>
      <c r="J609" s="1" t="s">
        <v>1494</v>
      </c>
      <c r="K609" s="1" t="s">
        <v>573</v>
      </c>
      <c r="L609" s="5">
        <v>100000</v>
      </c>
      <c r="M609" s="1" t="s">
        <v>23</v>
      </c>
    </row>
    <row r="610" spans="1:13" x14ac:dyDescent="0.25">
      <c r="A610" s="1" t="s">
        <v>1872</v>
      </c>
      <c r="B610" s="1" t="s">
        <v>352</v>
      </c>
      <c r="C610" s="1" t="s">
        <v>1913</v>
      </c>
      <c r="D610" s="1" t="s">
        <v>337</v>
      </c>
      <c r="E610" s="1" t="s">
        <v>16</v>
      </c>
      <c r="F610" s="1" t="s">
        <v>708</v>
      </c>
      <c r="G610" s="1" t="s">
        <v>612</v>
      </c>
      <c r="H610" s="1" t="s">
        <v>16</v>
      </c>
      <c r="I610" s="1" t="s">
        <v>693</v>
      </c>
      <c r="J610" s="1" t="s">
        <v>1904</v>
      </c>
      <c r="K610" s="1" t="s">
        <v>573</v>
      </c>
      <c r="L610" s="5">
        <v>25000</v>
      </c>
      <c r="M610" s="1" t="s">
        <v>319</v>
      </c>
    </row>
    <row r="611" spans="1:13" x14ac:dyDescent="0.25">
      <c r="A611" s="1" t="s">
        <v>483</v>
      </c>
      <c r="B611" s="1" t="s">
        <v>324</v>
      </c>
      <c r="C611" s="1" t="s">
        <v>1727</v>
      </c>
      <c r="D611" s="1" t="s">
        <v>337</v>
      </c>
      <c r="E611" s="1" t="s">
        <v>16</v>
      </c>
      <c r="F611" s="1" t="s">
        <v>1728</v>
      </c>
      <c r="G611" s="1" t="s">
        <v>702</v>
      </c>
      <c r="H611" s="1" t="s">
        <v>586</v>
      </c>
      <c r="I611" s="1" t="s">
        <v>1729</v>
      </c>
      <c r="J611" s="1" t="s">
        <v>1666</v>
      </c>
      <c r="K611" s="1" t="s">
        <v>615</v>
      </c>
      <c r="L611" s="5">
        <v>300000</v>
      </c>
      <c r="M611" s="1" t="s">
        <v>361</v>
      </c>
    </row>
    <row r="612" spans="1:13" x14ac:dyDescent="0.25">
      <c r="A612" s="1" t="s">
        <v>515</v>
      </c>
      <c r="B612" s="1" t="s">
        <v>382</v>
      </c>
      <c r="C612" s="1" t="s">
        <v>1384</v>
      </c>
      <c r="D612" s="1" t="s">
        <v>337</v>
      </c>
      <c r="E612" s="1" t="s">
        <v>16</v>
      </c>
      <c r="F612" s="1" t="s">
        <v>1385</v>
      </c>
      <c r="G612" s="1" t="s">
        <v>596</v>
      </c>
      <c r="H612" s="1" t="s">
        <v>570</v>
      </c>
      <c r="I612" s="1" t="s">
        <v>1386</v>
      </c>
      <c r="J612" s="1" t="s">
        <v>1378</v>
      </c>
      <c r="K612" s="1" t="s">
        <v>644</v>
      </c>
      <c r="L612" s="5">
        <v>1500000</v>
      </c>
      <c r="M612" s="1" t="s">
        <v>317</v>
      </c>
    </row>
    <row r="613" spans="1:13" x14ac:dyDescent="0.25">
      <c r="A613" s="1" t="s">
        <v>494</v>
      </c>
      <c r="B613" s="1" t="s">
        <v>324</v>
      </c>
      <c r="C613" s="1" t="s">
        <v>1154</v>
      </c>
      <c r="D613" s="1" t="s">
        <v>337</v>
      </c>
      <c r="E613" s="1" t="s">
        <v>16</v>
      </c>
      <c r="F613" s="1" t="s">
        <v>339</v>
      </c>
      <c r="G613" s="1" t="s">
        <v>641</v>
      </c>
      <c r="H613" s="1" t="s">
        <v>16</v>
      </c>
      <c r="I613" s="1" t="s">
        <v>618</v>
      </c>
      <c r="J613" s="1" t="s">
        <v>577</v>
      </c>
      <c r="K613" s="1" t="s">
        <v>615</v>
      </c>
      <c r="L613" s="5">
        <v>500000</v>
      </c>
      <c r="M613" s="1" t="s">
        <v>339</v>
      </c>
    </row>
    <row r="614" spans="1:13" x14ac:dyDescent="0.25">
      <c r="A614" s="1" t="s">
        <v>1543</v>
      </c>
      <c r="B614" s="1" t="s">
        <v>331</v>
      </c>
      <c r="C614" s="1" t="s">
        <v>1544</v>
      </c>
      <c r="D614" s="1" t="s">
        <v>337</v>
      </c>
      <c r="E614" s="1" t="s">
        <v>16</v>
      </c>
      <c r="F614" s="1" t="s">
        <v>960</v>
      </c>
      <c r="G614" s="1" t="s">
        <v>775</v>
      </c>
      <c r="H614" s="1" t="s">
        <v>570</v>
      </c>
      <c r="I614" s="1" t="s">
        <v>872</v>
      </c>
      <c r="J614" s="1" t="s">
        <v>739</v>
      </c>
      <c r="K614" s="1" t="s">
        <v>573</v>
      </c>
      <c r="L614" s="5">
        <v>100000</v>
      </c>
      <c r="M614" s="1" t="s">
        <v>23</v>
      </c>
    </row>
    <row r="615" spans="1:13" x14ac:dyDescent="0.25">
      <c r="A615" s="1" t="s">
        <v>486</v>
      </c>
      <c r="B615" s="1" t="s">
        <v>330</v>
      </c>
      <c r="C615" s="1" t="s">
        <v>787</v>
      </c>
      <c r="D615" s="1" t="s">
        <v>337</v>
      </c>
      <c r="E615" s="1" t="s">
        <v>16</v>
      </c>
      <c r="F615" s="1" t="s">
        <v>334</v>
      </c>
      <c r="G615" s="1" t="s">
        <v>641</v>
      </c>
      <c r="H615" s="1" t="s">
        <v>570</v>
      </c>
      <c r="I615" s="1" t="s">
        <v>618</v>
      </c>
      <c r="J615" s="1" t="s">
        <v>848</v>
      </c>
      <c r="K615" s="1" t="s">
        <v>615</v>
      </c>
      <c r="L615" s="5">
        <v>850000</v>
      </c>
      <c r="M615" s="1" t="s">
        <v>334</v>
      </c>
    </row>
    <row r="616" spans="1:13" x14ac:dyDescent="0.25">
      <c r="A616" s="1" t="s">
        <v>1751</v>
      </c>
      <c r="B616" s="1" t="s">
        <v>1752</v>
      </c>
      <c r="C616" s="1" t="s">
        <v>1753</v>
      </c>
      <c r="D616" s="1" t="s">
        <v>337</v>
      </c>
      <c r="E616" s="1" t="s">
        <v>16</v>
      </c>
      <c r="F616" s="1" t="s">
        <v>1666</v>
      </c>
      <c r="G616" s="1" t="s">
        <v>16</v>
      </c>
      <c r="H616" s="1" t="s">
        <v>570</v>
      </c>
      <c r="I616" s="1" t="s">
        <v>16</v>
      </c>
      <c r="J616" s="1"/>
      <c r="K616" s="1" t="s">
        <v>16</v>
      </c>
      <c r="L616" s="5" t="s">
        <v>16</v>
      </c>
      <c r="M616" s="1" t="s">
        <v>361</v>
      </c>
    </row>
    <row r="617" spans="1:13" x14ac:dyDescent="0.25">
      <c r="A617" s="1" t="s">
        <v>371</v>
      </c>
      <c r="B617" s="1" t="s">
        <v>325</v>
      </c>
      <c r="C617" s="1" t="s">
        <v>720</v>
      </c>
      <c r="D617" s="1" t="s">
        <v>336</v>
      </c>
      <c r="E617" s="1" t="s">
        <v>16</v>
      </c>
      <c r="F617" s="1" t="s">
        <v>721</v>
      </c>
      <c r="G617" s="1" t="s">
        <v>722</v>
      </c>
      <c r="H617" s="1" t="s">
        <v>570</v>
      </c>
      <c r="I617" s="1" t="s">
        <v>592</v>
      </c>
      <c r="J617" s="1" t="s">
        <v>23</v>
      </c>
      <c r="K617" s="1" t="s">
        <v>723</v>
      </c>
      <c r="L617" s="5">
        <v>400000</v>
      </c>
      <c r="M617" s="1" t="s">
        <v>318</v>
      </c>
    </row>
    <row r="618" spans="1:13" x14ac:dyDescent="0.25">
      <c r="A618" s="1" t="s">
        <v>1860</v>
      </c>
      <c r="B618" s="1" t="s">
        <v>325</v>
      </c>
      <c r="C618" s="1" t="s">
        <v>1861</v>
      </c>
      <c r="D618" s="1" t="s">
        <v>337</v>
      </c>
      <c r="E618" s="1" t="s">
        <v>16</v>
      </c>
      <c r="F618" s="1" t="s">
        <v>340</v>
      </c>
      <c r="G618" s="1" t="s">
        <v>580</v>
      </c>
      <c r="H618" s="1" t="s">
        <v>16</v>
      </c>
      <c r="I618" s="1" t="s">
        <v>1862</v>
      </c>
      <c r="J618" s="1" t="s">
        <v>1282</v>
      </c>
      <c r="K618" s="1" t="s">
        <v>578</v>
      </c>
      <c r="L618" s="5">
        <v>25000</v>
      </c>
      <c r="M618" s="1" t="s">
        <v>340</v>
      </c>
    </row>
    <row r="619" spans="1:13" x14ac:dyDescent="0.25">
      <c r="A619" s="1" t="s">
        <v>446</v>
      </c>
      <c r="B619" s="1" t="s">
        <v>382</v>
      </c>
      <c r="C619" s="1" t="s">
        <v>1390</v>
      </c>
      <c r="D619" s="1" t="s">
        <v>337</v>
      </c>
      <c r="E619" s="1" t="s">
        <v>16</v>
      </c>
      <c r="F619" s="1" t="s">
        <v>317</v>
      </c>
      <c r="G619" s="1" t="s">
        <v>633</v>
      </c>
      <c r="H619" s="1" t="s">
        <v>570</v>
      </c>
      <c r="I619" s="1" t="s">
        <v>1391</v>
      </c>
      <c r="J619" s="1" t="s">
        <v>733</v>
      </c>
      <c r="K619" s="1" t="s">
        <v>615</v>
      </c>
      <c r="L619" s="5">
        <v>550000</v>
      </c>
      <c r="M619" s="1" t="s">
        <v>317</v>
      </c>
    </row>
    <row r="620" spans="1:13" x14ac:dyDescent="0.25">
      <c r="A620" s="1" t="s">
        <v>435</v>
      </c>
      <c r="B620" s="1" t="s">
        <v>331</v>
      </c>
      <c r="C620" s="1" t="s">
        <v>1013</v>
      </c>
      <c r="D620" s="1" t="s">
        <v>337</v>
      </c>
      <c r="E620" s="1" t="s">
        <v>16</v>
      </c>
      <c r="F620" s="1" t="s">
        <v>341</v>
      </c>
      <c r="G620" s="1" t="s">
        <v>656</v>
      </c>
      <c r="H620" s="1" t="s">
        <v>586</v>
      </c>
      <c r="I620" s="1" t="s">
        <v>1014</v>
      </c>
      <c r="J620" s="1" t="s">
        <v>724</v>
      </c>
      <c r="K620" s="1" t="s">
        <v>578</v>
      </c>
      <c r="L620" s="5">
        <v>500000</v>
      </c>
      <c r="M620" s="1" t="s">
        <v>341</v>
      </c>
    </row>
    <row r="621" spans="1:13" x14ac:dyDescent="0.25">
      <c r="A621" s="1" t="s">
        <v>439</v>
      </c>
      <c r="B621" s="1" t="s">
        <v>330</v>
      </c>
      <c r="C621" s="1" t="s">
        <v>1988</v>
      </c>
      <c r="D621" s="1" t="s">
        <v>337</v>
      </c>
      <c r="E621" s="1" t="s">
        <v>16</v>
      </c>
      <c r="F621" s="1" t="s">
        <v>1192</v>
      </c>
      <c r="G621" s="1" t="s">
        <v>585</v>
      </c>
      <c r="H621" s="1" t="s">
        <v>570</v>
      </c>
      <c r="I621" s="1" t="s">
        <v>592</v>
      </c>
      <c r="J621" s="1" t="s">
        <v>315</v>
      </c>
      <c r="K621" s="1" t="s">
        <v>651</v>
      </c>
      <c r="L621" s="5">
        <v>450000</v>
      </c>
      <c r="M621" s="1" t="s">
        <v>345</v>
      </c>
    </row>
    <row r="622" spans="1:13" x14ac:dyDescent="0.25">
      <c r="A622" s="1" t="s">
        <v>535</v>
      </c>
      <c r="B622" s="1" t="s">
        <v>357</v>
      </c>
      <c r="C622" s="1" t="s">
        <v>1070</v>
      </c>
      <c r="D622" s="1" t="s">
        <v>337</v>
      </c>
      <c r="E622" s="1" t="s">
        <v>16</v>
      </c>
      <c r="F622" s="1" t="s">
        <v>338</v>
      </c>
      <c r="G622" s="1" t="s">
        <v>769</v>
      </c>
      <c r="H622" s="1" t="s">
        <v>605</v>
      </c>
      <c r="I622" s="1" t="s">
        <v>1071</v>
      </c>
      <c r="J622" s="1" t="s">
        <v>1072</v>
      </c>
      <c r="K622" s="1" t="s">
        <v>573</v>
      </c>
      <c r="L622" s="5">
        <v>450000</v>
      </c>
      <c r="M622" s="1" t="s">
        <v>338</v>
      </c>
    </row>
    <row r="623" spans="1:13" x14ac:dyDescent="0.25">
      <c r="A623" s="1" t="s">
        <v>1865</v>
      </c>
      <c r="B623" s="1" t="s">
        <v>0</v>
      </c>
      <c r="C623" s="1" t="s">
        <v>1878</v>
      </c>
      <c r="D623" s="1" t="s">
        <v>337</v>
      </c>
      <c r="E623" s="1" t="s">
        <v>16</v>
      </c>
      <c r="F623" s="1" t="s">
        <v>1879</v>
      </c>
      <c r="G623" s="1" t="s">
        <v>633</v>
      </c>
      <c r="H623" s="1" t="s">
        <v>570</v>
      </c>
      <c r="I623" s="1" t="s">
        <v>913</v>
      </c>
      <c r="J623" s="1" t="s">
        <v>1880</v>
      </c>
      <c r="K623" s="1" t="s">
        <v>588</v>
      </c>
      <c r="L623" s="5">
        <v>900000</v>
      </c>
      <c r="M623" s="1" t="s">
        <v>319</v>
      </c>
    </row>
    <row r="624" spans="1:13" x14ac:dyDescent="0.25">
      <c r="A624" s="1" t="s">
        <v>351</v>
      </c>
      <c r="B624" s="1" t="s">
        <v>324</v>
      </c>
      <c r="C624" s="1" t="s">
        <v>1261</v>
      </c>
      <c r="D624" s="1" t="s">
        <v>337</v>
      </c>
      <c r="E624" s="1" t="s">
        <v>16</v>
      </c>
      <c r="F624" s="1" t="s">
        <v>339</v>
      </c>
      <c r="G624" s="1" t="s">
        <v>684</v>
      </c>
      <c r="H624" s="1" t="s">
        <v>570</v>
      </c>
      <c r="I624" s="3">
        <v>43896</v>
      </c>
      <c r="J624" s="1" t="s">
        <v>338</v>
      </c>
      <c r="K624" s="1" t="s">
        <v>578</v>
      </c>
      <c r="L624" s="5">
        <v>1000000</v>
      </c>
      <c r="M624" s="1" t="s">
        <v>339</v>
      </c>
    </row>
    <row r="625" spans="1:13" x14ac:dyDescent="0.25">
      <c r="A625" s="1" t="s">
        <v>737</v>
      </c>
      <c r="B625" s="1" t="s">
        <v>325</v>
      </c>
      <c r="C625" s="1" t="s">
        <v>738</v>
      </c>
      <c r="D625" s="1" t="s">
        <v>499</v>
      </c>
      <c r="E625" s="1" t="s">
        <v>16</v>
      </c>
      <c r="F625" s="1" t="s">
        <v>739</v>
      </c>
      <c r="G625" s="1" t="s">
        <v>660</v>
      </c>
      <c r="H625" s="1" t="s">
        <v>570</v>
      </c>
      <c r="I625" s="1" t="s">
        <v>740</v>
      </c>
      <c r="J625" s="1" t="s">
        <v>739</v>
      </c>
      <c r="K625" s="1" t="s">
        <v>573</v>
      </c>
      <c r="L625" s="5">
        <v>25000</v>
      </c>
      <c r="M625" s="1" t="s">
        <v>318</v>
      </c>
    </row>
    <row r="626" spans="1:13" x14ac:dyDescent="0.25">
      <c r="A626" s="1" t="s">
        <v>178</v>
      </c>
      <c r="B626" s="1" t="s">
        <v>382</v>
      </c>
      <c r="C626" s="1" t="s">
        <v>1306</v>
      </c>
      <c r="D626" s="1" t="s">
        <v>370</v>
      </c>
      <c r="E626" s="1" t="s">
        <v>390</v>
      </c>
      <c r="F626" s="1" t="s">
        <v>315</v>
      </c>
      <c r="G626" s="1" t="s">
        <v>580</v>
      </c>
      <c r="H626" s="1" t="s">
        <v>570</v>
      </c>
      <c r="I626" s="1" t="s">
        <v>930</v>
      </c>
      <c r="J626" s="1" t="s">
        <v>1307</v>
      </c>
      <c r="K626" s="1" t="s">
        <v>615</v>
      </c>
      <c r="L626" s="5">
        <v>800000</v>
      </c>
      <c r="M626" s="1" t="s">
        <v>315</v>
      </c>
    </row>
    <row r="627" spans="1:13" x14ac:dyDescent="0.25">
      <c r="A627" s="1" t="s">
        <v>153</v>
      </c>
      <c r="B627" s="1" t="s">
        <v>325</v>
      </c>
      <c r="C627" s="1" t="s">
        <v>1203</v>
      </c>
      <c r="D627" s="1" t="s">
        <v>533</v>
      </c>
      <c r="E627" s="1" t="s">
        <v>16</v>
      </c>
      <c r="F627" s="1" t="s">
        <v>319</v>
      </c>
      <c r="G627" s="1" t="s">
        <v>709</v>
      </c>
      <c r="H627" s="1" t="s">
        <v>570</v>
      </c>
      <c r="I627" s="1" t="s">
        <v>1057</v>
      </c>
      <c r="J627" s="1" t="s">
        <v>1204</v>
      </c>
      <c r="K627" s="1" t="s">
        <v>573</v>
      </c>
      <c r="L627" s="5">
        <v>500000</v>
      </c>
      <c r="M627" s="1" t="s">
        <v>344</v>
      </c>
    </row>
    <row r="628" spans="1:13" x14ac:dyDescent="0.25">
      <c r="A628" s="1" t="s">
        <v>184</v>
      </c>
      <c r="B628" s="1" t="s">
        <v>324</v>
      </c>
      <c r="C628" s="1" t="s">
        <v>1346</v>
      </c>
      <c r="D628" s="1" t="s">
        <v>370</v>
      </c>
      <c r="E628" s="1" t="s">
        <v>16</v>
      </c>
      <c r="F628" s="1" t="s">
        <v>1347</v>
      </c>
      <c r="G628" s="1" t="s">
        <v>812</v>
      </c>
      <c r="H628" s="1" t="s">
        <v>570</v>
      </c>
      <c r="I628" s="1" t="s">
        <v>1348</v>
      </c>
      <c r="J628" s="1" t="s">
        <v>1349</v>
      </c>
      <c r="K628" s="1" t="s">
        <v>573</v>
      </c>
      <c r="L628" s="5">
        <v>200000</v>
      </c>
      <c r="M628" s="1" t="s">
        <v>315</v>
      </c>
    </row>
    <row r="629" spans="1:13" x14ac:dyDescent="0.25">
      <c r="A629" s="1" t="s">
        <v>126</v>
      </c>
      <c r="B629" s="1" t="s">
        <v>0</v>
      </c>
      <c r="C629" s="1" t="s">
        <v>567</v>
      </c>
      <c r="D629" s="1" t="s">
        <v>384</v>
      </c>
      <c r="E629" s="1" t="s">
        <v>16</v>
      </c>
      <c r="F629" s="1" t="s">
        <v>568</v>
      </c>
      <c r="G629" s="1" t="s">
        <v>569</v>
      </c>
      <c r="H629" s="1" t="s">
        <v>570</v>
      </c>
      <c r="I629" s="1" t="s">
        <v>571</v>
      </c>
      <c r="J629" s="1" t="s">
        <v>572</v>
      </c>
      <c r="K629" s="1" t="s">
        <v>573</v>
      </c>
      <c r="L629" s="5">
        <v>900000</v>
      </c>
      <c r="M629" s="1" t="s">
        <v>318</v>
      </c>
    </row>
    <row r="630" spans="1:13" x14ac:dyDescent="0.25">
      <c r="A630" s="1" t="s">
        <v>44</v>
      </c>
      <c r="B630" s="1" t="s">
        <v>325</v>
      </c>
      <c r="C630" s="1" t="s">
        <v>1562</v>
      </c>
      <c r="D630" s="1" t="s">
        <v>370</v>
      </c>
      <c r="E630" s="1" t="s">
        <v>333</v>
      </c>
      <c r="F630" s="1" t="s">
        <v>1561</v>
      </c>
      <c r="G630" s="1" t="s">
        <v>609</v>
      </c>
      <c r="H630" s="1" t="s">
        <v>605</v>
      </c>
      <c r="I630" s="1" t="s">
        <v>1563</v>
      </c>
      <c r="J630" s="1" t="s">
        <v>1564</v>
      </c>
      <c r="K630" s="1" t="s">
        <v>615</v>
      </c>
      <c r="L630" s="5">
        <v>300000</v>
      </c>
      <c r="M630" s="1" t="s">
        <v>23</v>
      </c>
    </row>
    <row r="631" spans="1:13" x14ac:dyDescent="0.25">
      <c r="A631" s="1" t="s">
        <v>63</v>
      </c>
      <c r="B631" s="1" t="s">
        <v>324</v>
      </c>
      <c r="C631" s="1" t="s">
        <v>1430</v>
      </c>
      <c r="D631" s="1" t="s">
        <v>337</v>
      </c>
      <c r="E631" s="1" t="s">
        <v>16</v>
      </c>
      <c r="F631" s="1" t="s">
        <v>317</v>
      </c>
      <c r="G631" s="1" t="s">
        <v>617</v>
      </c>
      <c r="H631" s="1" t="s">
        <v>570</v>
      </c>
      <c r="I631" s="1" t="s">
        <v>618</v>
      </c>
      <c r="J631" s="1" t="s">
        <v>319</v>
      </c>
      <c r="K631" s="1" t="s">
        <v>573</v>
      </c>
      <c r="L631" s="5">
        <v>650000</v>
      </c>
      <c r="M631" s="1" t="s">
        <v>317</v>
      </c>
    </row>
    <row r="632" spans="1:13" x14ac:dyDescent="0.25">
      <c r="A632" s="1" t="s">
        <v>244</v>
      </c>
      <c r="B632" s="1" t="s">
        <v>382</v>
      </c>
      <c r="C632" s="1" t="s">
        <v>1595</v>
      </c>
      <c r="D632" s="1" t="s">
        <v>436</v>
      </c>
      <c r="E632" s="1" t="s">
        <v>16</v>
      </c>
      <c r="F632" s="1" t="s">
        <v>349</v>
      </c>
      <c r="G632" s="1" t="s">
        <v>1158</v>
      </c>
      <c r="H632" s="1" t="s">
        <v>570</v>
      </c>
      <c r="I632" s="1" t="s">
        <v>887</v>
      </c>
      <c r="J632" s="1" t="s">
        <v>1596</v>
      </c>
      <c r="K632" s="1" t="s">
        <v>573</v>
      </c>
      <c r="L632" s="5">
        <v>700000</v>
      </c>
      <c r="M632" s="1" t="s">
        <v>349</v>
      </c>
    </row>
    <row r="633" spans="1:13" x14ac:dyDescent="0.25">
      <c r="A633" s="1" t="s">
        <v>1480</v>
      </c>
      <c r="B633" s="1" t="s">
        <v>330</v>
      </c>
      <c r="C633" s="1" t="s">
        <v>1549</v>
      </c>
      <c r="D633" s="1" t="s">
        <v>337</v>
      </c>
      <c r="E633" s="1" t="s">
        <v>16</v>
      </c>
      <c r="F633" s="1" t="s">
        <v>23</v>
      </c>
      <c r="G633" s="1" t="s">
        <v>702</v>
      </c>
      <c r="H633" s="1" t="s">
        <v>570</v>
      </c>
      <c r="I633" s="1" t="s">
        <v>1497</v>
      </c>
      <c r="J633" s="1" t="s">
        <v>1302</v>
      </c>
      <c r="K633" s="1" t="s">
        <v>615</v>
      </c>
      <c r="L633" s="5">
        <v>25000</v>
      </c>
      <c r="M633" s="1" t="s">
        <v>23</v>
      </c>
    </row>
    <row r="634" spans="1:13" x14ac:dyDescent="0.25">
      <c r="A634" s="1" t="s">
        <v>233</v>
      </c>
      <c r="B634" s="1" t="s">
        <v>324</v>
      </c>
      <c r="C634" s="1" t="s">
        <v>2012</v>
      </c>
      <c r="D634" s="1" t="s">
        <v>350</v>
      </c>
      <c r="E634" s="1" t="s">
        <v>16</v>
      </c>
      <c r="F634" s="1" t="s">
        <v>318</v>
      </c>
      <c r="G634" s="1" t="s">
        <v>641</v>
      </c>
      <c r="H634" s="1" t="s">
        <v>16</v>
      </c>
      <c r="I634" s="1" t="s">
        <v>2013</v>
      </c>
      <c r="J634" s="1" t="s">
        <v>2014</v>
      </c>
      <c r="K634" s="1" t="s">
        <v>615</v>
      </c>
      <c r="L634" s="5">
        <v>350000</v>
      </c>
      <c r="M634" s="1" t="s">
        <v>345</v>
      </c>
    </row>
    <row r="635" spans="1:13" x14ac:dyDescent="0.25">
      <c r="A635" s="1" t="s">
        <v>822</v>
      </c>
      <c r="B635" s="1" t="s">
        <v>325</v>
      </c>
      <c r="C635" s="1" t="s">
        <v>631</v>
      </c>
      <c r="D635" s="1" t="s">
        <v>364</v>
      </c>
      <c r="E635" s="1" t="s">
        <v>16</v>
      </c>
      <c r="F635" s="1" t="s">
        <v>860</v>
      </c>
      <c r="G635" s="1" t="s">
        <v>609</v>
      </c>
      <c r="H635" s="1" t="s">
        <v>586</v>
      </c>
      <c r="I635" s="1" t="s">
        <v>813</v>
      </c>
      <c r="J635" s="1" t="s">
        <v>654</v>
      </c>
      <c r="K635" s="1" t="s">
        <v>573</v>
      </c>
      <c r="L635" s="5">
        <v>250000</v>
      </c>
      <c r="M635" s="1" t="s">
        <v>334</v>
      </c>
    </row>
    <row r="636" spans="1:13" x14ac:dyDescent="0.25">
      <c r="A636" s="1" t="s">
        <v>21</v>
      </c>
      <c r="B636" s="1" t="s">
        <v>328</v>
      </c>
      <c r="C636" s="1" t="s">
        <v>2105</v>
      </c>
      <c r="D636" s="1" t="s">
        <v>401</v>
      </c>
      <c r="E636" s="1" t="s">
        <v>16</v>
      </c>
      <c r="F636" s="1" t="s">
        <v>1375</v>
      </c>
      <c r="G636" s="1" t="s">
        <v>656</v>
      </c>
      <c r="H636" s="1" t="s">
        <v>570</v>
      </c>
      <c r="I636" s="3">
        <v>44630</v>
      </c>
      <c r="J636" s="1" t="s">
        <v>2106</v>
      </c>
      <c r="K636" s="1" t="s">
        <v>573</v>
      </c>
      <c r="L636" s="5">
        <v>300000</v>
      </c>
      <c r="M636" s="1" t="s">
        <v>316</v>
      </c>
    </row>
    <row r="637" spans="1:13" x14ac:dyDescent="0.25">
      <c r="A637" s="1" t="s">
        <v>13</v>
      </c>
      <c r="B637" s="1" t="s">
        <v>325</v>
      </c>
      <c r="C637" s="1" t="s">
        <v>2117</v>
      </c>
      <c r="D637" s="1" t="s">
        <v>350</v>
      </c>
      <c r="E637" s="1" t="s">
        <v>16</v>
      </c>
      <c r="F637" s="1" t="s">
        <v>316</v>
      </c>
      <c r="G637" s="1" t="s">
        <v>684</v>
      </c>
      <c r="H637" s="1" t="s">
        <v>570</v>
      </c>
      <c r="I637" s="1" t="s">
        <v>2118</v>
      </c>
      <c r="J637" s="1" t="s">
        <v>317</v>
      </c>
      <c r="K637" s="1" t="s">
        <v>573</v>
      </c>
      <c r="L637" s="5">
        <v>150000</v>
      </c>
      <c r="M637" s="1" t="s">
        <v>316</v>
      </c>
    </row>
    <row r="638" spans="1:13" x14ac:dyDescent="0.25">
      <c r="A638" s="1" t="s">
        <v>2232</v>
      </c>
      <c r="B638" s="1" t="s">
        <v>357</v>
      </c>
      <c r="C638" s="1" t="s">
        <v>2233</v>
      </c>
      <c r="D638" s="1" t="s">
        <v>333</v>
      </c>
      <c r="E638" s="1" t="s">
        <v>16</v>
      </c>
      <c r="F638" s="1" t="s">
        <v>2234</v>
      </c>
      <c r="G638" s="1" t="s">
        <v>684</v>
      </c>
      <c r="H638" s="1" t="s">
        <v>586</v>
      </c>
      <c r="I638" s="1" t="s">
        <v>763</v>
      </c>
      <c r="J638" s="1" t="s">
        <v>724</v>
      </c>
      <c r="K638" s="1" t="s">
        <v>573</v>
      </c>
      <c r="L638" s="5">
        <v>100000</v>
      </c>
      <c r="M638" s="1" t="s">
        <v>348</v>
      </c>
    </row>
    <row r="639" spans="1:13" x14ac:dyDescent="0.25">
      <c r="A639" s="1" t="s">
        <v>703</v>
      </c>
      <c r="B639" s="1" t="s">
        <v>326</v>
      </c>
      <c r="C639" s="1" t="s">
        <v>704</v>
      </c>
      <c r="D639" s="1" t="s">
        <v>336</v>
      </c>
      <c r="E639" s="1" t="s">
        <v>16</v>
      </c>
      <c r="F639" s="1" t="s">
        <v>705</v>
      </c>
      <c r="G639" s="1" t="s">
        <v>612</v>
      </c>
      <c r="H639" s="1" t="s">
        <v>586</v>
      </c>
      <c r="I639" s="1" t="s">
        <v>637</v>
      </c>
      <c r="J639" s="1" t="s">
        <v>577</v>
      </c>
      <c r="K639" s="1" t="s">
        <v>578</v>
      </c>
      <c r="L639" s="5">
        <v>175000</v>
      </c>
      <c r="M639" s="1" t="s">
        <v>318</v>
      </c>
    </row>
    <row r="640" spans="1:13" x14ac:dyDescent="0.25">
      <c r="A640" s="1" t="s">
        <v>18</v>
      </c>
      <c r="B640" s="1" t="s">
        <v>324</v>
      </c>
      <c r="C640" s="1" t="s">
        <v>2102</v>
      </c>
      <c r="D640" s="1" t="s">
        <v>350</v>
      </c>
      <c r="E640" s="1" t="s">
        <v>16</v>
      </c>
      <c r="F640" s="1" t="s">
        <v>1454</v>
      </c>
      <c r="G640" s="1" t="s">
        <v>709</v>
      </c>
      <c r="H640" s="1" t="s">
        <v>570</v>
      </c>
      <c r="I640" s="1" t="s">
        <v>874</v>
      </c>
      <c r="J640" s="1" t="s">
        <v>2095</v>
      </c>
      <c r="K640" s="1" t="s">
        <v>615</v>
      </c>
      <c r="L640" s="5">
        <v>150000</v>
      </c>
      <c r="M640" s="1" t="s">
        <v>316</v>
      </c>
    </row>
    <row r="641" spans="1:13" x14ac:dyDescent="0.25">
      <c r="A641" s="1" t="s">
        <v>1796</v>
      </c>
      <c r="B641" s="1" t="s">
        <v>382</v>
      </c>
      <c r="C641" s="1" t="s">
        <v>1797</v>
      </c>
      <c r="D641" s="1" t="s">
        <v>490</v>
      </c>
      <c r="E641" s="1" t="s">
        <v>364</v>
      </c>
      <c r="F641" s="1" t="s">
        <v>1465</v>
      </c>
      <c r="G641" s="1" t="s">
        <v>722</v>
      </c>
      <c r="H641" s="1" t="s">
        <v>586</v>
      </c>
      <c r="I641" s="1" t="s">
        <v>1688</v>
      </c>
      <c r="J641" s="1" t="s">
        <v>845</v>
      </c>
      <c r="K641" s="1" t="s">
        <v>658</v>
      </c>
      <c r="L641" s="5">
        <v>200000</v>
      </c>
      <c r="M641" s="1" t="s">
        <v>340</v>
      </c>
    </row>
    <row r="642" spans="1:13" x14ac:dyDescent="0.25">
      <c r="A642" s="1" t="s">
        <v>297</v>
      </c>
      <c r="B642" s="1" t="s">
        <v>326</v>
      </c>
      <c r="C642" s="1" t="s">
        <v>1842</v>
      </c>
      <c r="D642" s="1" t="s">
        <v>342</v>
      </c>
      <c r="E642" s="1" t="s">
        <v>16</v>
      </c>
      <c r="F642" s="1" t="s">
        <v>340</v>
      </c>
      <c r="G642" s="1" t="s">
        <v>812</v>
      </c>
      <c r="H642" s="1" t="s">
        <v>570</v>
      </c>
      <c r="I642" s="1" t="s">
        <v>597</v>
      </c>
      <c r="J642" s="1" t="s">
        <v>840</v>
      </c>
      <c r="K642" s="1" t="s">
        <v>573</v>
      </c>
      <c r="L642" s="5">
        <v>300000</v>
      </c>
      <c r="M642" s="1" t="s">
        <v>340</v>
      </c>
    </row>
    <row r="643" spans="1:13" x14ac:dyDescent="0.25">
      <c r="A643" s="1" t="s">
        <v>238</v>
      </c>
      <c r="B643" s="1" t="s">
        <v>325</v>
      </c>
      <c r="C643" s="1" t="s">
        <v>2033</v>
      </c>
      <c r="D643" s="1" t="s">
        <v>337</v>
      </c>
      <c r="E643" s="1" t="s">
        <v>16</v>
      </c>
      <c r="F643" s="1" t="s">
        <v>847</v>
      </c>
      <c r="G643" s="1" t="s">
        <v>722</v>
      </c>
      <c r="H643" s="1" t="s">
        <v>570</v>
      </c>
      <c r="I643" s="1" t="s">
        <v>2034</v>
      </c>
      <c r="J643" s="1" t="s">
        <v>1968</v>
      </c>
      <c r="K643" s="1" t="s">
        <v>578</v>
      </c>
      <c r="L643" s="5">
        <v>100000</v>
      </c>
      <c r="M643" s="1" t="s">
        <v>345</v>
      </c>
    </row>
    <row r="644" spans="1:13" x14ac:dyDescent="0.25">
      <c r="A644" s="1" t="s">
        <v>12</v>
      </c>
      <c r="B644" s="1" t="s">
        <v>331</v>
      </c>
      <c r="C644" s="1" t="s">
        <v>2076</v>
      </c>
      <c r="D644" s="1" t="s">
        <v>337</v>
      </c>
      <c r="E644" s="1" t="s">
        <v>16</v>
      </c>
      <c r="F644" s="1" t="s">
        <v>841</v>
      </c>
      <c r="G644" s="1" t="s">
        <v>684</v>
      </c>
      <c r="H644" s="1" t="s">
        <v>16</v>
      </c>
      <c r="I644" s="1" t="s">
        <v>772</v>
      </c>
      <c r="J644" s="1" t="s">
        <v>836</v>
      </c>
      <c r="K644" s="1" t="s">
        <v>615</v>
      </c>
      <c r="L644" s="5">
        <v>100000</v>
      </c>
      <c r="M644" s="1" t="s">
        <v>316</v>
      </c>
    </row>
    <row r="645" spans="1:13" x14ac:dyDescent="0.25">
      <c r="A645" s="1" t="s">
        <v>166</v>
      </c>
      <c r="B645" s="1" t="s">
        <v>324</v>
      </c>
      <c r="C645" s="1" t="s">
        <v>1021</v>
      </c>
      <c r="D645" s="1" t="s">
        <v>337</v>
      </c>
      <c r="E645" s="1" t="s">
        <v>16</v>
      </c>
      <c r="F645" s="1" t="s">
        <v>341</v>
      </c>
      <c r="G645" s="1" t="s">
        <v>812</v>
      </c>
      <c r="H645" s="1" t="s">
        <v>570</v>
      </c>
      <c r="I645" s="1" t="s">
        <v>1022</v>
      </c>
      <c r="J645" s="1" t="s">
        <v>985</v>
      </c>
      <c r="K645" s="1" t="s">
        <v>578</v>
      </c>
      <c r="L645" s="5">
        <v>1700000</v>
      </c>
      <c r="M645" s="1" t="s">
        <v>341</v>
      </c>
    </row>
    <row r="646" spans="1:13" x14ac:dyDescent="0.25">
      <c r="A646" s="1" t="s">
        <v>203</v>
      </c>
      <c r="B646" s="1" t="s">
        <v>325</v>
      </c>
      <c r="C646" s="1" t="s">
        <v>892</v>
      </c>
      <c r="D646" s="1" t="s">
        <v>337</v>
      </c>
      <c r="E646" s="1" t="s">
        <v>16</v>
      </c>
      <c r="F646" s="1" t="s">
        <v>332</v>
      </c>
      <c r="G646" s="1" t="s">
        <v>591</v>
      </c>
      <c r="H646" s="1" t="s">
        <v>586</v>
      </c>
      <c r="I646" s="1" t="s">
        <v>610</v>
      </c>
      <c r="J646" s="1" t="s">
        <v>893</v>
      </c>
      <c r="K646" s="1" t="s">
        <v>573</v>
      </c>
      <c r="L646" s="5">
        <v>400000</v>
      </c>
      <c r="M646" s="1" t="s">
        <v>332</v>
      </c>
    </row>
    <row r="647" spans="1:13" x14ac:dyDescent="0.25">
      <c r="A647" s="1" t="s">
        <v>259</v>
      </c>
      <c r="B647" s="1" t="s">
        <v>357</v>
      </c>
      <c r="C647" s="1" t="s">
        <v>2149</v>
      </c>
      <c r="D647" s="1" t="s">
        <v>335</v>
      </c>
      <c r="E647" s="1" t="s">
        <v>16</v>
      </c>
      <c r="F647" s="1" t="s">
        <v>1651</v>
      </c>
      <c r="G647" s="1" t="s">
        <v>702</v>
      </c>
      <c r="H647" s="1" t="s">
        <v>586</v>
      </c>
      <c r="I647" s="1" t="s">
        <v>1057</v>
      </c>
      <c r="J647" s="1" t="s">
        <v>2150</v>
      </c>
      <c r="K647" s="1" t="s">
        <v>615</v>
      </c>
      <c r="L647" s="5">
        <v>250000</v>
      </c>
      <c r="M647" s="1" t="s">
        <v>383</v>
      </c>
    </row>
    <row r="648" spans="1:13" x14ac:dyDescent="0.25">
      <c r="A648" s="1" t="s">
        <v>262</v>
      </c>
      <c r="B648" s="1" t="s">
        <v>382</v>
      </c>
      <c r="C648" s="1" t="s">
        <v>2137</v>
      </c>
      <c r="D648" s="1" t="s">
        <v>337</v>
      </c>
      <c r="E648" s="1" t="s">
        <v>16</v>
      </c>
      <c r="F648" s="1" t="s">
        <v>1130</v>
      </c>
      <c r="G648" s="1" t="s">
        <v>609</v>
      </c>
      <c r="H648" s="1" t="s">
        <v>570</v>
      </c>
      <c r="I648" s="1" t="s">
        <v>2138</v>
      </c>
      <c r="J648" s="1" t="s">
        <v>340</v>
      </c>
      <c r="K648" s="1" t="s">
        <v>615</v>
      </c>
      <c r="L648" s="5">
        <v>200000</v>
      </c>
      <c r="M648" s="1" t="s">
        <v>383</v>
      </c>
    </row>
    <row r="649" spans="1:13" x14ac:dyDescent="0.25">
      <c r="A649" s="1" t="s">
        <v>34</v>
      </c>
      <c r="B649" s="1" t="s">
        <v>328</v>
      </c>
      <c r="C649" s="1" t="s">
        <v>1560</v>
      </c>
      <c r="D649" s="1" t="s">
        <v>366</v>
      </c>
      <c r="E649" s="1" t="s">
        <v>16</v>
      </c>
      <c r="F649" s="1" t="s">
        <v>1561</v>
      </c>
      <c r="G649" s="1" t="s">
        <v>656</v>
      </c>
      <c r="H649" s="1" t="s">
        <v>570</v>
      </c>
      <c r="I649" s="1" t="s">
        <v>732</v>
      </c>
      <c r="J649" s="1" t="s">
        <v>943</v>
      </c>
      <c r="K649" s="1" t="s">
        <v>578</v>
      </c>
      <c r="L649" s="5">
        <v>1000000</v>
      </c>
      <c r="M649" s="1" t="s">
        <v>23</v>
      </c>
    </row>
    <row r="650" spans="1:13" x14ac:dyDescent="0.25">
      <c r="A650" s="1" t="s">
        <v>530</v>
      </c>
      <c r="B650" s="1" t="s">
        <v>326</v>
      </c>
      <c r="C650" s="1" t="s">
        <v>2261</v>
      </c>
      <c r="D650" s="1" t="s">
        <v>430</v>
      </c>
      <c r="E650" s="1" t="s">
        <v>337</v>
      </c>
      <c r="F650" s="1" t="s">
        <v>348</v>
      </c>
      <c r="G650" s="1" t="s">
        <v>612</v>
      </c>
      <c r="H650" s="1" t="s">
        <v>570</v>
      </c>
      <c r="I650" s="1" t="s">
        <v>874</v>
      </c>
      <c r="J650" s="1" t="s">
        <v>960</v>
      </c>
      <c r="K650" s="1" t="s">
        <v>573</v>
      </c>
      <c r="L650" s="5">
        <v>150000</v>
      </c>
      <c r="M650" s="1" t="s">
        <v>348</v>
      </c>
    </row>
    <row r="651" spans="1:13" x14ac:dyDescent="0.25">
      <c r="A651" s="1" t="s">
        <v>1292</v>
      </c>
      <c r="B651" s="1" t="s">
        <v>382</v>
      </c>
      <c r="C651" s="1" t="s">
        <v>1314</v>
      </c>
      <c r="D651" s="1" t="s">
        <v>369</v>
      </c>
      <c r="E651" s="1" t="s">
        <v>16</v>
      </c>
      <c r="F651" s="1" t="s">
        <v>1315</v>
      </c>
      <c r="G651" s="1" t="s">
        <v>633</v>
      </c>
      <c r="H651" s="1" t="s">
        <v>16</v>
      </c>
      <c r="I651" s="1" t="s">
        <v>1316</v>
      </c>
      <c r="J651" s="1" t="s">
        <v>1317</v>
      </c>
      <c r="K651" s="1" t="s">
        <v>615</v>
      </c>
      <c r="L651" s="5">
        <v>75000</v>
      </c>
      <c r="M651" s="1" t="s">
        <v>315</v>
      </c>
    </row>
    <row r="652" spans="1:13" x14ac:dyDescent="0.25">
      <c r="A652" s="1" t="s">
        <v>1673</v>
      </c>
      <c r="B652" s="1" t="s">
        <v>0</v>
      </c>
      <c r="C652" s="1" t="s">
        <v>1674</v>
      </c>
      <c r="D652" s="1" t="s">
        <v>337</v>
      </c>
      <c r="E652" s="1" t="s">
        <v>16</v>
      </c>
      <c r="F652" s="1" t="s">
        <v>361</v>
      </c>
      <c r="G652" s="1" t="s">
        <v>627</v>
      </c>
      <c r="H652" s="1" t="s">
        <v>586</v>
      </c>
      <c r="I652" s="1" t="s">
        <v>613</v>
      </c>
      <c r="J652" s="1" t="s">
        <v>1675</v>
      </c>
      <c r="K652" s="1" t="s">
        <v>615</v>
      </c>
      <c r="L652" s="5">
        <v>25000</v>
      </c>
      <c r="M652" s="1" t="s">
        <v>361</v>
      </c>
    </row>
    <row r="653" spans="1:13" x14ac:dyDescent="0.25">
      <c r="A653" s="1" t="s">
        <v>374</v>
      </c>
      <c r="B653" s="1" t="s">
        <v>324</v>
      </c>
      <c r="C653" s="1" t="s">
        <v>2171</v>
      </c>
      <c r="D653" s="1" t="s">
        <v>384</v>
      </c>
      <c r="E653" s="1" t="s">
        <v>16</v>
      </c>
      <c r="F653" s="1" t="s">
        <v>349</v>
      </c>
      <c r="G653" s="1" t="s">
        <v>678</v>
      </c>
      <c r="H653" s="1" t="s">
        <v>570</v>
      </c>
      <c r="I653" s="1" t="s">
        <v>1033</v>
      </c>
      <c r="J653" s="1" t="s">
        <v>1975</v>
      </c>
      <c r="K653" s="1" t="s">
        <v>573</v>
      </c>
      <c r="L653" s="5">
        <v>400000</v>
      </c>
      <c r="M653" s="1" t="s">
        <v>383</v>
      </c>
    </row>
    <row r="654" spans="1:13" x14ac:dyDescent="0.25">
      <c r="A654" s="1" t="s">
        <v>1395</v>
      </c>
      <c r="B654" s="1" t="s">
        <v>382</v>
      </c>
      <c r="C654" s="1" t="s">
        <v>1396</v>
      </c>
      <c r="D654" s="1" t="s">
        <v>394</v>
      </c>
      <c r="E654" s="1" t="s">
        <v>16</v>
      </c>
      <c r="F654" s="1" t="s">
        <v>1397</v>
      </c>
      <c r="G654" s="1" t="s">
        <v>722</v>
      </c>
      <c r="H654" s="1" t="s">
        <v>570</v>
      </c>
      <c r="I654" s="1" t="s">
        <v>1313</v>
      </c>
      <c r="J654" s="1" t="s">
        <v>670</v>
      </c>
      <c r="K654" s="1" t="s">
        <v>16</v>
      </c>
      <c r="L654" s="5">
        <v>300000</v>
      </c>
      <c r="M654" s="1" t="s">
        <v>317</v>
      </c>
    </row>
    <row r="655" spans="1:13" x14ac:dyDescent="0.25">
      <c r="A655" s="1" t="s">
        <v>38</v>
      </c>
      <c r="B655" s="1" t="s">
        <v>331</v>
      </c>
      <c r="C655" s="1" t="s">
        <v>1538</v>
      </c>
      <c r="D655" s="1" t="s">
        <v>337</v>
      </c>
      <c r="E655" s="1" t="s">
        <v>16</v>
      </c>
      <c r="F655" s="1" t="s">
        <v>701</v>
      </c>
      <c r="G655" s="1" t="s">
        <v>722</v>
      </c>
      <c r="H655" s="1" t="s">
        <v>16</v>
      </c>
      <c r="I655" s="1" t="s">
        <v>1506</v>
      </c>
      <c r="J655" s="1" t="s">
        <v>1494</v>
      </c>
      <c r="K655" s="1" t="s">
        <v>573</v>
      </c>
      <c r="L655" s="5">
        <v>350000</v>
      </c>
      <c r="M655" s="1" t="s">
        <v>23</v>
      </c>
    </row>
    <row r="656" spans="1:13" x14ac:dyDescent="0.25">
      <c r="A656" s="1" t="s">
        <v>473</v>
      </c>
      <c r="B656" s="1" t="s">
        <v>330</v>
      </c>
      <c r="C656" s="1" t="s">
        <v>936</v>
      </c>
      <c r="D656" s="1" t="s">
        <v>337</v>
      </c>
      <c r="E656" s="1" t="s">
        <v>16</v>
      </c>
      <c r="F656" s="1" t="s">
        <v>332</v>
      </c>
      <c r="G656" s="1" t="s">
        <v>769</v>
      </c>
      <c r="H656" s="1" t="s">
        <v>570</v>
      </c>
      <c r="I656" s="1" t="s">
        <v>879</v>
      </c>
      <c r="J656" s="1" t="s">
        <v>349</v>
      </c>
      <c r="K656" s="1" t="s">
        <v>578</v>
      </c>
      <c r="L656" s="5">
        <v>500000</v>
      </c>
      <c r="M656" s="1" t="s">
        <v>332</v>
      </c>
    </row>
    <row r="657" spans="1:13" x14ac:dyDescent="0.25">
      <c r="A657" s="1" t="s">
        <v>473</v>
      </c>
      <c r="B657" s="1" t="s">
        <v>330</v>
      </c>
      <c r="C657" s="1" t="s">
        <v>936</v>
      </c>
      <c r="D657" s="1" t="s">
        <v>337</v>
      </c>
      <c r="E657" s="1" t="s">
        <v>16</v>
      </c>
      <c r="F657" s="1" t="s">
        <v>332</v>
      </c>
      <c r="G657" s="1" t="s">
        <v>769</v>
      </c>
      <c r="H657" s="1" t="s">
        <v>570</v>
      </c>
      <c r="I657" s="1" t="s">
        <v>735</v>
      </c>
      <c r="J657" s="1" t="s">
        <v>1624</v>
      </c>
      <c r="K657" s="1" t="s">
        <v>578</v>
      </c>
      <c r="L657" s="5">
        <v>500000</v>
      </c>
      <c r="M657" s="1" t="s">
        <v>349</v>
      </c>
    </row>
    <row r="658" spans="1:13" x14ac:dyDescent="0.25">
      <c r="A658" s="1" t="s">
        <v>54</v>
      </c>
      <c r="B658" s="1" t="s">
        <v>331</v>
      </c>
      <c r="C658" s="1" t="s">
        <v>2238</v>
      </c>
      <c r="D658" s="1" t="s">
        <v>337</v>
      </c>
      <c r="E658" s="1" t="s">
        <v>16</v>
      </c>
      <c r="F658" s="1" t="s">
        <v>964</v>
      </c>
      <c r="G658" s="1" t="s">
        <v>646</v>
      </c>
      <c r="H658" s="1" t="s">
        <v>570</v>
      </c>
      <c r="I658" s="1" t="s">
        <v>2239</v>
      </c>
      <c r="J658" s="1" t="s">
        <v>836</v>
      </c>
      <c r="K658" s="1" t="s">
        <v>615</v>
      </c>
      <c r="L658" s="5">
        <v>200000</v>
      </c>
      <c r="M658" s="1" t="s">
        <v>348</v>
      </c>
    </row>
    <row r="659" spans="1:13" x14ac:dyDescent="0.25">
      <c r="A659" s="1" t="s">
        <v>231</v>
      </c>
      <c r="B659" s="1" t="s">
        <v>331</v>
      </c>
      <c r="C659" s="1" t="s">
        <v>1978</v>
      </c>
      <c r="D659" s="1" t="s">
        <v>337</v>
      </c>
      <c r="E659" s="1" t="s">
        <v>16</v>
      </c>
      <c r="F659" s="1" t="s">
        <v>348</v>
      </c>
      <c r="G659" s="1" t="s">
        <v>627</v>
      </c>
      <c r="H659" s="1" t="s">
        <v>605</v>
      </c>
      <c r="I659" s="1" t="s">
        <v>743</v>
      </c>
      <c r="J659" s="1" t="s">
        <v>1968</v>
      </c>
      <c r="K659" s="1" t="s">
        <v>573</v>
      </c>
      <c r="L659" s="5">
        <v>400000</v>
      </c>
      <c r="M659" s="1" t="s">
        <v>345</v>
      </c>
    </row>
    <row r="660" spans="1:13" x14ac:dyDescent="0.25">
      <c r="A660" s="1" t="s">
        <v>1982</v>
      </c>
      <c r="B660" s="1" t="s">
        <v>331</v>
      </c>
      <c r="C660" s="1" t="s">
        <v>1983</v>
      </c>
      <c r="D660" s="1" t="s">
        <v>337</v>
      </c>
      <c r="E660" s="1" t="s">
        <v>16</v>
      </c>
      <c r="F660" s="1" t="s">
        <v>345</v>
      </c>
      <c r="G660" s="1" t="s">
        <v>575</v>
      </c>
      <c r="H660" s="1" t="s">
        <v>570</v>
      </c>
      <c r="I660" s="1" t="s">
        <v>634</v>
      </c>
      <c r="J660" s="1" t="s">
        <v>1968</v>
      </c>
      <c r="K660" s="1" t="s">
        <v>615</v>
      </c>
      <c r="L660" s="5">
        <v>25000</v>
      </c>
      <c r="M660" s="1" t="s">
        <v>345</v>
      </c>
    </row>
    <row r="661" spans="1:13" x14ac:dyDescent="0.25">
      <c r="A661" s="1" t="s">
        <v>1707</v>
      </c>
      <c r="B661" s="1" t="s">
        <v>376</v>
      </c>
      <c r="C661" s="1" t="s">
        <v>1708</v>
      </c>
      <c r="D661" s="1" t="s">
        <v>337</v>
      </c>
      <c r="E661" s="1" t="s">
        <v>16</v>
      </c>
      <c r="F661" s="1" t="s">
        <v>1666</v>
      </c>
      <c r="G661" s="1" t="s">
        <v>678</v>
      </c>
      <c r="H661" s="1" t="s">
        <v>16</v>
      </c>
      <c r="I661" s="1" t="s">
        <v>1671</v>
      </c>
      <c r="J661" s="1" t="s">
        <v>1666</v>
      </c>
      <c r="K661" s="1" t="s">
        <v>573</v>
      </c>
      <c r="L661" s="5">
        <v>25000</v>
      </c>
      <c r="M661" s="1" t="s">
        <v>361</v>
      </c>
    </row>
    <row r="662" spans="1:13" x14ac:dyDescent="0.25">
      <c r="A662" s="1" t="s">
        <v>1781</v>
      </c>
      <c r="B662" s="1" t="s">
        <v>0</v>
      </c>
      <c r="C662" s="1" t="s">
        <v>799</v>
      </c>
      <c r="D662" s="1" t="s">
        <v>337</v>
      </c>
      <c r="E662" s="1" t="s">
        <v>16</v>
      </c>
      <c r="F662" s="1" t="s">
        <v>340</v>
      </c>
      <c r="G662" s="1" t="s">
        <v>575</v>
      </c>
      <c r="H662" s="1" t="s">
        <v>570</v>
      </c>
      <c r="I662" s="1" t="s">
        <v>1663</v>
      </c>
      <c r="J662" s="1" t="s">
        <v>1282</v>
      </c>
      <c r="K662" s="1" t="s">
        <v>578</v>
      </c>
      <c r="L662" s="5">
        <v>25000</v>
      </c>
      <c r="M662" s="1" t="s">
        <v>340</v>
      </c>
    </row>
    <row r="663" spans="1:13" x14ac:dyDescent="0.25">
      <c r="A663" s="1" t="s">
        <v>727</v>
      </c>
      <c r="B663" s="1" t="s">
        <v>325</v>
      </c>
      <c r="C663" s="1" t="s">
        <v>728</v>
      </c>
      <c r="D663" s="1" t="s">
        <v>337</v>
      </c>
      <c r="E663" s="1" t="s">
        <v>16</v>
      </c>
      <c r="F663" s="1" t="s">
        <v>317</v>
      </c>
      <c r="G663" s="1" t="s">
        <v>585</v>
      </c>
      <c r="H663" s="1" t="s">
        <v>570</v>
      </c>
      <c r="I663" s="1" t="s">
        <v>729</v>
      </c>
      <c r="J663" s="1" t="s">
        <v>577</v>
      </c>
      <c r="K663" s="1" t="s">
        <v>578</v>
      </c>
      <c r="L663" s="5">
        <v>300000</v>
      </c>
      <c r="M663" s="1" t="s">
        <v>318</v>
      </c>
    </row>
    <row r="664" spans="1:13" x14ac:dyDescent="0.25">
      <c r="A664" s="1" t="s">
        <v>84</v>
      </c>
      <c r="B664" s="1" t="s">
        <v>331</v>
      </c>
      <c r="C664" s="1" t="s">
        <v>1709</v>
      </c>
      <c r="D664" s="1" t="s">
        <v>337</v>
      </c>
      <c r="E664" s="1" t="s">
        <v>16</v>
      </c>
      <c r="F664" s="1" t="s">
        <v>361</v>
      </c>
      <c r="G664" s="1" t="s">
        <v>675</v>
      </c>
      <c r="H664" s="1" t="s">
        <v>586</v>
      </c>
      <c r="I664" s="1" t="s">
        <v>1710</v>
      </c>
      <c r="J664" s="1" t="s">
        <v>1459</v>
      </c>
      <c r="K664" s="1" t="s">
        <v>615</v>
      </c>
      <c r="L664" s="5">
        <v>1000000</v>
      </c>
      <c r="M664" s="1" t="s">
        <v>361</v>
      </c>
    </row>
    <row r="665" spans="1:13" x14ac:dyDescent="0.25">
      <c r="A665" s="1" t="s">
        <v>179</v>
      </c>
      <c r="B665" s="1" t="s">
        <v>331</v>
      </c>
      <c r="C665" s="1" t="s">
        <v>1337</v>
      </c>
      <c r="D665" s="1" t="s">
        <v>510</v>
      </c>
      <c r="E665" s="1" t="s">
        <v>16</v>
      </c>
      <c r="F665" s="1" t="s">
        <v>315</v>
      </c>
      <c r="G665" s="1" t="s">
        <v>702</v>
      </c>
      <c r="H665" s="1" t="s">
        <v>570</v>
      </c>
      <c r="I665" s="1" t="s">
        <v>1338</v>
      </c>
      <c r="J665" s="1" t="s">
        <v>724</v>
      </c>
      <c r="K665" s="1" t="s">
        <v>573</v>
      </c>
      <c r="L665" s="5">
        <v>100000</v>
      </c>
      <c r="M665" s="1" t="s">
        <v>315</v>
      </c>
    </row>
    <row r="666" spans="1:13" x14ac:dyDescent="0.25">
      <c r="A666" s="1" t="s">
        <v>40</v>
      </c>
      <c r="B666" s="1" t="s">
        <v>324</v>
      </c>
      <c r="C666" s="1" t="s">
        <v>1558</v>
      </c>
      <c r="D666" s="1" t="s">
        <v>370</v>
      </c>
      <c r="E666" s="1" t="s">
        <v>16</v>
      </c>
      <c r="F666" s="1" t="s">
        <v>1489</v>
      </c>
      <c r="G666" s="1" t="s">
        <v>709</v>
      </c>
      <c r="H666" s="1" t="s">
        <v>605</v>
      </c>
      <c r="I666" s="1" t="s">
        <v>1559</v>
      </c>
      <c r="J666" s="1" t="s">
        <v>701</v>
      </c>
      <c r="K666" s="1" t="s">
        <v>573</v>
      </c>
      <c r="L666" s="5">
        <v>150000</v>
      </c>
      <c r="M666" s="1" t="s">
        <v>23</v>
      </c>
    </row>
    <row r="667" spans="1:13" x14ac:dyDescent="0.25">
      <c r="A667" s="1" t="s">
        <v>757</v>
      </c>
      <c r="B667" s="1" t="s">
        <v>382</v>
      </c>
      <c r="C667" s="1" t="s">
        <v>758</v>
      </c>
      <c r="D667" s="1" t="s">
        <v>531</v>
      </c>
      <c r="E667" s="1" t="s">
        <v>16</v>
      </c>
      <c r="F667" s="1" t="s">
        <v>834</v>
      </c>
      <c r="G667" s="1" t="s">
        <v>591</v>
      </c>
      <c r="H667" s="1" t="s">
        <v>570</v>
      </c>
      <c r="I667" s="1" t="s">
        <v>759</v>
      </c>
      <c r="J667" s="1" t="s">
        <v>835</v>
      </c>
      <c r="K667" s="1" t="s">
        <v>651</v>
      </c>
      <c r="L667" s="5">
        <v>200000</v>
      </c>
      <c r="M667" s="1" t="s">
        <v>334</v>
      </c>
    </row>
    <row r="668" spans="1:13" x14ac:dyDescent="0.25">
      <c r="A668" s="1" t="s">
        <v>1145</v>
      </c>
      <c r="B668" s="1" t="s">
        <v>326</v>
      </c>
      <c r="C668" s="1" t="s">
        <v>1194</v>
      </c>
      <c r="D668" s="1" t="s">
        <v>336</v>
      </c>
      <c r="E668" s="1" t="s">
        <v>16</v>
      </c>
      <c r="F668" s="1" t="s">
        <v>1195</v>
      </c>
      <c r="G668" s="1" t="s">
        <v>709</v>
      </c>
      <c r="H668" s="1" t="s">
        <v>570</v>
      </c>
      <c r="I668" s="1" t="s">
        <v>1196</v>
      </c>
      <c r="J668" s="1" t="s">
        <v>598</v>
      </c>
      <c r="K668" s="1" t="s">
        <v>1197</v>
      </c>
      <c r="L668" s="5">
        <v>350000</v>
      </c>
      <c r="M668" s="1" t="s">
        <v>344</v>
      </c>
    </row>
    <row r="669" spans="1:13" x14ac:dyDescent="0.25">
      <c r="A669" s="1" t="s">
        <v>180</v>
      </c>
      <c r="B669" s="1" t="s">
        <v>331</v>
      </c>
      <c r="C669" s="1" t="s">
        <v>1332</v>
      </c>
      <c r="D669" s="1" t="s">
        <v>336</v>
      </c>
      <c r="E669" s="1" t="s">
        <v>16</v>
      </c>
      <c r="F669" s="1" t="s">
        <v>1333</v>
      </c>
      <c r="G669" s="1" t="s">
        <v>702</v>
      </c>
      <c r="H669" s="1" t="s">
        <v>570</v>
      </c>
      <c r="I669" s="1" t="s">
        <v>935</v>
      </c>
      <c r="J669" s="1" t="s">
        <v>999</v>
      </c>
      <c r="K669" s="1" t="s">
        <v>573</v>
      </c>
      <c r="L669" s="5">
        <v>200000</v>
      </c>
      <c r="M669" s="1" t="s">
        <v>315</v>
      </c>
    </row>
    <row r="670" spans="1:13" x14ac:dyDescent="0.25">
      <c r="A670" s="1" t="s">
        <v>149</v>
      </c>
      <c r="B670" s="1" t="s">
        <v>324</v>
      </c>
      <c r="C670" s="1" t="s">
        <v>1188</v>
      </c>
      <c r="D670" s="1" t="s">
        <v>532</v>
      </c>
      <c r="E670" s="1" t="s">
        <v>16</v>
      </c>
      <c r="F670" s="1" t="s">
        <v>344</v>
      </c>
      <c r="G670" s="1" t="s">
        <v>646</v>
      </c>
      <c r="H670" s="1" t="s">
        <v>570</v>
      </c>
      <c r="I670" s="1" t="s">
        <v>1057</v>
      </c>
      <c r="J670" s="1" t="s">
        <v>1189</v>
      </c>
      <c r="K670" s="1" t="s">
        <v>578</v>
      </c>
      <c r="L670" s="5">
        <v>450000</v>
      </c>
      <c r="M670" s="1" t="s">
        <v>344</v>
      </c>
    </row>
    <row r="671" spans="1:13" x14ac:dyDescent="0.25">
      <c r="A671" s="1" t="s">
        <v>148</v>
      </c>
      <c r="B671" s="1" t="s">
        <v>331</v>
      </c>
      <c r="C671" s="1" t="s">
        <v>1175</v>
      </c>
      <c r="D671" s="1" t="s">
        <v>420</v>
      </c>
      <c r="E671" s="1" t="s">
        <v>16</v>
      </c>
      <c r="F671" s="1" t="s">
        <v>344</v>
      </c>
      <c r="G671" s="1" t="s">
        <v>775</v>
      </c>
      <c r="H671" s="1" t="s">
        <v>570</v>
      </c>
      <c r="I671" s="1" t="s">
        <v>1176</v>
      </c>
      <c r="J671" s="1" t="s">
        <v>724</v>
      </c>
      <c r="K671" s="1" t="s">
        <v>573</v>
      </c>
      <c r="L671" s="5">
        <v>400000</v>
      </c>
      <c r="M671" s="1" t="s">
        <v>344</v>
      </c>
    </row>
    <row r="672" spans="1:13" x14ac:dyDescent="0.25">
      <c r="A672" s="1" t="s">
        <v>142</v>
      </c>
      <c r="B672" s="1" t="s">
        <v>382</v>
      </c>
      <c r="C672" s="1" t="s">
        <v>1155</v>
      </c>
      <c r="D672" s="1" t="s">
        <v>350</v>
      </c>
      <c r="E672" s="1" t="s">
        <v>16</v>
      </c>
      <c r="F672" s="1" t="s">
        <v>344</v>
      </c>
      <c r="G672" s="1" t="s">
        <v>617</v>
      </c>
      <c r="H672" s="1" t="s">
        <v>570</v>
      </c>
      <c r="I672" s="1" t="s">
        <v>597</v>
      </c>
      <c r="J672" s="1" t="s">
        <v>831</v>
      </c>
      <c r="K672" s="1" t="s">
        <v>578</v>
      </c>
      <c r="L672" s="5">
        <v>900000</v>
      </c>
      <c r="M672" s="1" t="s">
        <v>344</v>
      </c>
    </row>
    <row r="673" spans="1:13" x14ac:dyDescent="0.25">
      <c r="A673" s="1" t="s">
        <v>139</v>
      </c>
      <c r="B673" s="1" t="s">
        <v>325</v>
      </c>
      <c r="C673" s="1" t="s">
        <v>725</v>
      </c>
      <c r="D673" s="1" t="s">
        <v>362</v>
      </c>
      <c r="E673" s="1" t="s">
        <v>16</v>
      </c>
      <c r="F673" s="1" t="s">
        <v>318</v>
      </c>
      <c r="G673" s="1" t="s">
        <v>569</v>
      </c>
      <c r="H673" s="1" t="s">
        <v>570</v>
      </c>
      <c r="I673" s="1" t="s">
        <v>726</v>
      </c>
      <c r="J673" s="1" t="s">
        <v>724</v>
      </c>
      <c r="K673" s="1" t="s">
        <v>615</v>
      </c>
      <c r="L673" s="5">
        <v>400000</v>
      </c>
      <c r="M673" s="1" t="s">
        <v>318</v>
      </c>
    </row>
    <row r="674" spans="1:13" x14ac:dyDescent="0.25">
      <c r="A674" s="1" t="s">
        <v>190</v>
      </c>
      <c r="B674" s="1" t="s">
        <v>382</v>
      </c>
      <c r="C674" s="1" t="s">
        <v>909</v>
      </c>
      <c r="D674" s="1" t="s">
        <v>362</v>
      </c>
      <c r="E674" s="1" t="s">
        <v>16</v>
      </c>
      <c r="F674" s="1" t="s">
        <v>332</v>
      </c>
      <c r="G674" s="1" t="s">
        <v>871</v>
      </c>
      <c r="H674" s="1" t="s">
        <v>570</v>
      </c>
      <c r="I674" s="1" t="s">
        <v>872</v>
      </c>
      <c r="J674" s="1" t="s">
        <v>873</v>
      </c>
      <c r="K674" s="1" t="s">
        <v>573</v>
      </c>
      <c r="L674" s="5">
        <v>800000</v>
      </c>
      <c r="M674" s="1" t="s">
        <v>332</v>
      </c>
    </row>
    <row r="675" spans="1:13" x14ac:dyDescent="0.25">
      <c r="A675" s="1" t="s">
        <v>19</v>
      </c>
      <c r="B675" s="1" t="s">
        <v>325</v>
      </c>
      <c r="C675" s="1" t="s">
        <v>2113</v>
      </c>
      <c r="D675" s="1" t="s">
        <v>362</v>
      </c>
      <c r="E675" s="1" t="s">
        <v>16</v>
      </c>
      <c r="F675" s="1" t="s">
        <v>316</v>
      </c>
      <c r="G675" s="1" t="s">
        <v>569</v>
      </c>
      <c r="H675" s="1" t="s">
        <v>570</v>
      </c>
      <c r="I675" s="1" t="s">
        <v>1452</v>
      </c>
      <c r="J675" s="1" t="s">
        <v>2114</v>
      </c>
      <c r="K675" s="1" t="s">
        <v>615</v>
      </c>
      <c r="L675" s="5">
        <v>200000</v>
      </c>
      <c r="M675" s="1" t="s">
        <v>316</v>
      </c>
    </row>
    <row r="676" spans="1:13" x14ac:dyDescent="0.25">
      <c r="A676" s="1" t="s">
        <v>83</v>
      </c>
      <c r="B676" s="1" t="s">
        <v>328</v>
      </c>
      <c r="C676" s="1" t="s">
        <v>1740</v>
      </c>
      <c r="D676" s="1" t="s">
        <v>362</v>
      </c>
      <c r="E676" s="1" t="s">
        <v>16</v>
      </c>
      <c r="F676" s="1" t="s">
        <v>361</v>
      </c>
      <c r="G676" s="1" t="s">
        <v>709</v>
      </c>
      <c r="H676" s="1" t="s">
        <v>570</v>
      </c>
      <c r="I676" s="1" t="s">
        <v>993</v>
      </c>
      <c r="J676" s="1" t="s">
        <v>1741</v>
      </c>
      <c r="K676" s="1" t="s">
        <v>573</v>
      </c>
      <c r="L676" s="5">
        <v>1200000</v>
      </c>
      <c r="M676" s="1" t="s">
        <v>361</v>
      </c>
    </row>
    <row r="677" spans="1:13" x14ac:dyDescent="0.25">
      <c r="A677" s="1" t="s">
        <v>424</v>
      </c>
      <c r="B677" s="1" t="s">
        <v>325</v>
      </c>
      <c r="C677" s="1" t="s">
        <v>1851</v>
      </c>
      <c r="D677" s="1" t="s">
        <v>362</v>
      </c>
      <c r="E677" s="1" t="s">
        <v>16</v>
      </c>
      <c r="F677" s="1" t="s">
        <v>1852</v>
      </c>
      <c r="G677" s="1" t="s">
        <v>775</v>
      </c>
      <c r="H677" s="1" t="s">
        <v>16</v>
      </c>
      <c r="I677" s="1" t="s">
        <v>935</v>
      </c>
      <c r="J677" s="1" t="s">
        <v>1853</v>
      </c>
      <c r="K677" s="1" t="s">
        <v>578</v>
      </c>
      <c r="L677" s="5">
        <v>500000</v>
      </c>
      <c r="M677" s="1" t="s">
        <v>340</v>
      </c>
    </row>
    <row r="678" spans="1:13" x14ac:dyDescent="0.25">
      <c r="A678" s="1" t="s">
        <v>1574</v>
      </c>
      <c r="B678" s="1" t="s">
        <v>325</v>
      </c>
      <c r="C678" s="1" t="s">
        <v>1575</v>
      </c>
      <c r="D678" s="1" t="s">
        <v>337</v>
      </c>
      <c r="E678" s="1" t="s">
        <v>16</v>
      </c>
      <c r="F678" s="1" t="s">
        <v>984</v>
      </c>
      <c r="G678" s="1" t="s">
        <v>596</v>
      </c>
      <c r="H678" s="1" t="s">
        <v>586</v>
      </c>
      <c r="I678" s="1" t="s">
        <v>1518</v>
      </c>
      <c r="J678" s="1" t="s">
        <v>1302</v>
      </c>
      <c r="K678" s="1" t="s">
        <v>573</v>
      </c>
      <c r="L678" s="5">
        <v>25000</v>
      </c>
      <c r="M678" s="1" t="s">
        <v>23</v>
      </c>
    </row>
    <row r="679" spans="1:13" x14ac:dyDescent="0.25">
      <c r="A679" s="1" t="s">
        <v>1140</v>
      </c>
      <c r="B679" s="1" t="s">
        <v>331</v>
      </c>
      <c r="C679" s="1" t="s">
        <v>1178</v>
      </c>
      <c r="D679" s="1" t="s">
        <v>337</v>
      </c>
      <c r="E679" s="1" t="s">
        <v>16</v>
      </c>
      <c r="F679" s="1" t="s">
        <v>733</v>
      </c>
      <c r="G679" s="1" t="s">
        <v>627</v>
      </c>
      <c r="H679" s="1" t="s">
        <v>570</v>
      </c>
      <c r="I679" s="1" t="s">
        <v>1179</v>
      </c>
      <c r="J679" s="1" t="s">
        <v>318</v>
      </c>
      <c r="K679" s="1" t="s">
        <v>573</v>
      </c>
      <c r="L679" s="5">
        <v>25000</v>
      </c>
      <c r="M679" s="1" t="s">
        <v>344</v>
      </c>
    </row>
    <row r="680" spans="1:13" x14ac:dyDescent="0.25">
      <c r="A680" s="1" t="s">
        <v>507</v>
      </c>
      <c r="B680" s="1" t="s">
        <v>376</v>
      </c>
      <c r="C680" s="1" t="s">
        <v>773</v>
      </c>
      <c r="D680" s="1" t="s">
        <v>337</v>
      </c>
      <c r="E680" s="1" t="s">
        <v>16</v>
      </c>
      <c r="F680" s="1" t="s">
        <v>839</v>
      </c>
      <c r="G680" s="1" t="s">
        <v>617</v>
      </c>
      <c r="H680" s="1" t="s">
        <v>570</v>
      </c>
      <c r="I680" s="3">
        <v>44637</v>
      </c>
      <c r="J680" s="1" t="s">
        <v>698</v>
      </c>
      <c r="K680" s="1" t="s">
        <v>573</v>
      </c>
      <c r="L680" s="5">
        <v>4500000</v>
      </c>
      <c r="M680" s="1" t="s">
        <v>334</v>
      </c>
    </row>
    <row r="681" spans="1:13" x14ac:dyDescent="0.25">
      <c r="A681" s="1" t="s">
        <v>1</v>
      </c>
      <c r="B681" s="1" t="s">
        <v>0</v>
      </c>
      <c r="C681" s="1" t="s">
        <v>2037</v>
      </c>
      <c r="D681" s="1" t="s">
        <v>337</v>
      </c>
      <c r="E681" s="1" t="s">
        <v>16</v>
      </c>
      <c r="F681" s="1" t="s">
        <v>316</v>
      </c>
      <c r="G681" s="1" t="s">
        <v>580</v>
      </c>
      <c r="H681" s="1" t="s">
        <v>570</v>
      </c>
      <c r="I681" s="1" t="s">
        <v>1563</v>
      </c>
      <c r="J681" s="1" t="s">
        <v>317</v>
      </c>
      <c r="K681" s="1" t="s">
        <v>573</v>
      </c>
      <c r="L681" s="5">
        <v>200000</v>
      </c>
      <c r="M681" s="1" t="s">
        <v>316</v>
      </c>
    </row>
    <row r="682" spans="1:13" x14ac:dyDescent="0.25">
      <c r="A682" s="1" t="s">
        <v>119</v>
      </c>
      <c r="B682" s="1" t="s">
        <v>331</v>
      </c>
      <c r="C682" s="1" t="s">
        <v>1085</v>
      </c>
      <c r="D682" s="1" t="s">
        <v>337</v>
      </c>
      <c r="E682" s="1" t="s">
        <v>16</v>
      </c>
      <c r="F682" s="1" t="s">
        <v>340</v>
      </c>
      <c r="G682" s="1" t="s">
        <v>660</v>
      </c>
      <c r="H682" s="1" t="s">
        <v>570</v>
      </c>
      <c r="I682" s="1" t="s">
        <v>1086</v>
      </c>
      <c r="J682" s="1" t="s">
        <v>1061</v>
      </c>
      <c r="K682" s="1" t="s">
        <v>615</v>
      </c>
      <c r="L682" s="5">
        <v>800000</v>
      </c>
      <c r="M682" s="1" t="s">
        <v>338</v>
      </c>
    </row>
    <row r="683" spans="1:13" x14ac:dyDescent="0.25">
      <c r="A683" s="1" t="s">
        <v>2091</v>
      </c>
      <c r="B683" s="1" t="s">
        <v>330</v>
      </c>
      <c r="C683" s="1" t="s">
        <v>2092</v>
      </c>
      <c r="D683" s="1" t="s">
        <v>337</v>
      </c>
      <c r="E683" s="1" t="s">
        <v>16</v>
      </c>
      <c r="F683" s="1" t="s">
        <v>316</v>
      </c>
      <c r="G683" s="1" t="s">
        <v>684</v>
      </c>
      <c r="H683" s="1" t="s">
        <v>16</v>
      </c>
      <c r="I683" s="1" t="s">
        <v>2093</v>
      </c>
      <c r="J683" s="1" t="s">
        <v>2094</v>
      </c>
      <c r="K683" s="1" t="s">
        <v>573</v>
      </c>
      <c r="L683" s="5">
        <v>50000</v>
      </c>
      <c r="M683" s="1" t="s">
        <v>316</v>
      </c>
    </row>
    <row r="684" spans="1:13" x14ac:dyDescent="0.25">
      <c r="A684" s="1" t="s">
        <v>51</v>
      </c>
      <c r="B684" s="1" t="s">
        <v>382</v>
      </c>
      <c r="C684" s="1" t="s">
        <v>2227</v>
      </c>
      <c r="D684" s="1" t="s">
        <v>337</v>
      </c>
      <c r="E684" s="1" t="s">
        <v>16</v>
      </c>
      <c r="F684" s="1" t="s">
        <v>2228</v>
      </c>
      <c r="G684" s="1" t="s">
        <v>1380</v>
      </c>
      <c r="H684" s="1" t="s">
        <v>570</v>
      </c>
      <c r="I684" s="1" t="s">
        <v>2229</v>
      </c>
      <c r="J684" s="1" t="s">
        <v>847</v>
      </c>
      <c r="K684" s="1" t="s">
        <v>573</v>
      </c>
      <c r="L684" s="5" t="s">
        <v>16</v>
      </c>
      <c r="M684" s="1" t="s">
        <v>348</v>
      </c>
    </row>
    <row r="685" spans="1:13" x14ac:dyDescent="0.25">
      <c r="A685" s="1" t="s">
        <v>145</v>
      </c>
      <c r="B685" s="1" t="s">
        <v>376</v>
      </c>
      <c r="C685" s="1" t="s">
        <v>1166</v>
      </c>
      <c r="D685" s="1" t="s">
        <v>337</v>
      </c>
      <c r="E685" s="1" t="s">
        <v>16</v>
      </c>
      <c r="F685" s="1" t="s">
        <v>344</v>
      </c>
      <c r="G685" s="1" t="s">
        <v>775</v>
      </c>
      <c r="H685" s="1" t="s">
        <v>570</v>
      </c>
      <c r="I685" s="1" t="s">
        <v>1167</v>
      </c>
      <c r="J685" s="1" t="s">
        <v>847</v>
      </c>
      <c r="K685" s="1" t="s">
        <v>573</v>
      </c>
      <c r="L685" s="5">
        <v>100000</v>
      </c>
      <c r="M685" s="1" t="s">
        <v>344</v>
      </c>
    </row>
    <row r="686" spans="1:13" x14ac:dyDescent="0.25">
      <c r="A686" s="1" t="s">
        <v>699</v>
      </c>
      <c r="B686" s="1" t="s">
        <v>326</v>
      </c>
      <c r="C686" s="1" t="s">
        <v>700</v>
      </c>
      <c r="D686" s="1" t="s">
        <v>337</v>
      </c>
      <c r="E686" s="1" t="s">
        <v>16</v>
      </c>
      <c r="F686" s="1" t="s">
        <v>701</v>
      </c>
      <c r="G686" s="1" t="s">
        <v>702</v>
      </c>
      <c r="H686" s="1" t="s">
        <v>570</v>
      </c>
      <c r="I686" s="1" t="s">
        <v>637</v>
      </c>
      <c r="J686" s="1" t="s">
        <v>577</v>
      </c>
      <c r="K686" s="1" t="s">
        <v>573</v>
      </c>
      <c r="L686" s="5">
        <v>200000</v>
      </c>
      <c r="M686" s="1" t="s">
        <v>318</v>
      </c>
    </row>
    <row r="687" spans="1:13" x14ac:dyDescent="0.25">
      <c r="A687" s="1" t="s">
        <v>120</v>
      </c>
      <c r="B687" s="1" t="s">
        <v>331</v>
      </c>
      <c r="C687" s="1" t="s">
        <v>1091</v>
      </c>
      <c r="D687" s="1" t="s">
        <v>337</v>
      </c>
      <c r="E687" s="1" t="s">
        <v>16</v>
      </c>
      <c r="F687" s="1" t="s">
        <v>733</v>
      </c>
      <c r="G687" s="1" t="s">
        <v>775</v>
      </c>
      <c r="H687" s="1" t="s">
        <v>16</v>
      </c>
      <c r="I687" s="1" t="s">
        <v>1057</v>
      </c>
      <c r="J687" s="1" t="s">
        <v>708</v>
      </c>
      <c r="K687" s="1" t="s">
        <v>573</v>
      </c>
      <c r="L687" s="5">
        <v>50000</v>
      </c>
      <c r="M687" s="1" t="s">
        <v>338</v>
      </c>
    </row>
    <row r="688" spans="1:13" x14ac:dyDescent="0.25">
      <c r="A688" s="1" t="s">
        <v>462</v>
      </c>
      <c r="B688" s="1" t="s">
        <v>324</v>
      </c>
      <c r="C688" s="1" t="s">
        <v>1835</v>
      </c>
      <c r="D688" s="1" t="s">
        <v>337</v>
      </c>
      <c r="E688" s="1" t="s">
        <v>16</v>
      </c>
      <c r="F688" s="1" t="s">
        <v>340</v>
      </c>
      <c r="G688" s="1" t="s">
        <v>722</v>
      </c>
      <c r="H688" s="1" t="s">
        <v>570</v>
      </c>
      <c r="I688" s="1" t="s">
        <v>618</v>
      </c>
      <c r="J688" s="1" t="s">
        <v>1771</v>
      </c>
      <c r="K688" s="1" t="s">
        <v>615</v>
      </c>
      <c r="L688" s="5">
        <v>400000</v>
      </c>
      <c r="M688" s="1" t="s">
        <v>340</v>
      </c>
    </row>
    <row r="689" spans="1:13" x14ac:dyDescent="0.25">
      <c r="A689" s="1" t="s">
        <v>2248</v>
      </c>
      <c r="B689" s="1" t="s">
        <v>330</v>
      </c>
      <c r="C689" s="1" t="s">
        <v>1262</v>
      </c>
      <c r="D689" s="1" t="s">
        <v>337</v>
      </c>
      <c r="E689" s="1" t="s">
        <v>16</v>
      </c>
      <c r="F689" s="1" t="s">
        <v>997</v>
      </c>
      <c r="G689" s="1" t="s">
        <v>656</v>
      </c>
      <c r="H689" s="1" t="s">
        <v>605</v>
      </c>
      <c r="I689" s="1" t="s">
        <v>610</v>
      </c>
      <c r="J689" s="1" t="s">
        <v>1472</v>
      </c>
      <c r="K689" s="1" t="s">
        <v>573</v>
      </c>
      <c r="L689" s="5">
        <v>100000</v>
      </c>
      <c r="M689" s="1" t="s">
        <v>348</v>
      </c>
    </row>
    <row r="690" spans="1:13" x14ac:dyDescent="0.25">
      <c r="A690" s="1" t="s">
        <v>284</v>
      </c>
      <c r="B690" s="1" t="s">
        <v>326</v>
      </c>
      <c r="C690" s="1" t="s">
        <v>1278</v>
      </c>
      <c r="D690" s="1" t="s">
        <v>337</v>
      </c>
      <c r="E690" s="1" t="s">
        <v>16</v>
      </c>
      <c r="F690" s="1" t="s">
        <v>339</v>
      </c>
      <c r="G690" s="1" t="s">
        <v>627</v>
      </c>
      <c r="H690" s="1" t="s">
        <v>16</v>
      </c>
      <c r="I690" s="1" t="s">
        <v>1279</v>
      </c>
      <c r="J690" s="1" t="s">
        <v>1226</v>
      </c>
      <c r="K690" s="1" t="s">
        <v>573</v>
      </c>
      <c r="L690" s="5">
        <v>150000</v>
      </c>
      <c r="M690" s="1" t="s">
        <v>339</v>
      </c>
    </row>
    <row r="691" spans="1:13" x14ac:dyDescent="0.25">
      <c r="A691" s="1" t="s">
        <v>2215</v>
      </c>
      <c r="B691" s="1" t="s">
        <v>0</v>
      </c>
      <c r="C691" s="1" t="s">
        <v>2216</v>
      </c>
      <c r="D691" s="1" t="s">
        <v>337</v>
      </c>
      <c r="E691" s="1" t="s">
        <v>16</v>
      </c>
      <c r="F691" s="1" t="s">
        <v>348</v>
      </c>
      <c r="G691" s="1" t="s">
        <v>596</v>
      </c>
      <c r="H691" s="1" t="s">
        <v>570</v>
      </c>
      <c r="I691" s="1" t="s">
        <v>2217</v>
      </c>
      <c r="J691" s="1" t="s">
        <v>724</v>
      </c>
      <c r="K691" s="1" t="s">
        <v>573</v>
      </c>
      <c r="L691" s="5">
        <v>25000</v>
      </c>
      <c r="M691" s="1" t="s">
        <v>348</v>
      </c>
    </row>
    <row r="692" spans="1:13" x14ac:dyDescent="0.25">
      <c r="A692" s="1" t="s">
        <v>816</v>
      </c>
      <c r="B692" s="1" t="s">
        <v>328</v>
      </c>
      <c r="C692" s="1" t="s">
        <v>817</v>
      </c>
      <c r="D692" s="1" t="s">
        <v>337</v>
      </c>
      <c r="E692" s="1" t="s">
        <v>16</v>
      </c>
      <c r="F692" s="1" t="s">
        <v>841</v>
      </c>
      <c r="G692" s="1" t="s">
        <v>646</v>
      </c>
      <c r="H692" s="1" t="s">
        <v>570</v>
      </c>
      <c r="I692" s="1" t="s">
        <v>818</v>
      </c>
      <c r="J692" s="1" t="s">
        <v>829</v>
      </c>
      <c r="K692" s="1" t="s">
        <v>615</v>
      </c>
      <c r="L692" s="5">
        <v>100000</v>
      </c>
      <c r="M692" s="1" t="s">
        <v>334</v>
      </c>
    </row>
    <row r="693" spans="1:13" x14ac:dyDescent="0.25">
      <c r="A693" s="1" t="s">
        <v>407</v>
      </c>
      <c r="B693" s="1" t="s">
        <v>324</v>
      </c>
      <c r="C693" s="1" t="s">
        <v>1023</v>
      </c>
      <c r="D693" s="1" t="s">
        <v>408</v>
      </c>
      <c r="E693" s="1" t="s">
        <v>16</v>
      </c>
      <c r="F693" s="1" t="s">
        <v>341</v>
      </c>
      <c r="G693" s="1" t="s">
        <v>791</v>
      </c>
      <c r="H693" s="1" t="s">
        <v>586</v>
      </c>
      <c r="I693" s="1" t="s">
        <v>879</v>
      </c>
      <c r="J693" s="1" t="s">
        <v>1024</v>
      </c>
      <c r="K693" s="1" t="s">
        <v>578</v>
      </c>
      <c r="L693" s="5">
        <v>1200000</v>
      </c>
      <c r="M693" s="1" t="s">
        <v>341</v>
      </c>
    </row>
    <row r="694" spans="1:13" x14ac:dyDescent="0.25">
      <c r="A694" s="1" t="s">
        <v>897</v>
      </c>
      <c r="B694" s="1" t="s">
        <v>330</v>
      </c>
      <c r="C694" s="1" t="s">
        <v>934</v>
      </c>
      <c r="D694" s="1" t="s">
        <v>391</v>
      </c>
      <c r="E694" s="1" t="s">
        <v>430</v>
      </c>
      <c r="F694" s="1" t="s">
        <v>724</v>
      </c>
      <c r="G694" s="1" t="s">
        <v>656</v>
      </c>
      <c r="H694" s="1" t="s">
        <v>570</v>
      </c>
      <c r="I694" s="1" t="s">
        <v>935</v>
      </c>
      <c r="J694" s="1" t="s">
        <v>318</v>
      </c>
      <c r="K694" s="1" t="s">
        <v>16</v>
      </c>
      <c r="L694" s="5">
        <v>600000</v>
      </c>
      <c r="M694" s="1" t="s">
        <v>332</v>
      </c>
    </row>
    <row r="695" spans="1:13" x14ac:dyDescent="0.25">
      <c r="A695" s="1" t="s">
        <v>1461</v>
      </c>
      <c r="B695" s="1" t="s">
        <v>325</v>
      </c>
      <c r="C695" s="1" t="s">
        <v>1462</v>
      </c>
      <c r="D695" s="1" t="s">
        <v>480</v>
      </c>
      <c r="E695" s="1" t="s">
        <v>419</v>
      </c>
      <c r="F695" s="1" t="s">
        <v>1463</v>
      </c>
      <c r="G695" s="1" t="s">
        <v>675</v>
      </c>
      <c r="H695" s="1" t="s">
        <v>586</v>
      </c>
      <c r="I695" s="1" t="s">
        <v>1464</v>
      </c>
      <c r="J695" s="1" t="s">
        <v>1465</v>
      </c>
      <c r="K695" s="1" t="s">
        <v>573</v>
      </c>
      <c r="L695" s="5">
        <v>125000</v>
      </c>
      <c r="M695" s="1" t="s">
        <v>317</v>
      </c>
    </row>
    <row r="696" spans="1:13" x14ac:dyDescent="0.25">
      <c r="A696" s="1" t="s">
        <v>20</v>
      </c>
      <c r="B696" s="1" t="s">
        <v>325</v>
      </c>
      <c r="C696" s="1" t="s">
        <v>2115</v>
      </c>
      <c r="D696" s="1" t="s">
        <v>453</v>
      </c>
      <c r="E696" s="1" t="s">
        <v>400</v>
      </c>
      <c r="F696" s="1" t="s">
        <v>2116</v>
      </c>
      <c r="G696" s="1" t="s">
        <v>660</v>
      </c>
      <c r="H696" s="1" t="s">
        <v>570</v>
      </c>
      <c r="I696" s="1" t="s">
        <v>1065</v>
      </c>
      <c r="J696" s="1" t="s">
        <v>848</v>
      </c>
      <c r="K696" s="1" t="s">
        <v>578</v>
      </c>
      <c r="L696" s="5">
        <v>150000</v>
      </c>
      <c r="M696" s="1" t="s">
        <v>316</v>
      </c>
    </row>
    <row r="697" spans="1:13" x14ac:dyDescent="0.25">
      <c r="A697" s="1" t="s">
        <v>444</v>
      </c>
      <c r="B697" s="1" t="s">
        <v>359</v>
      </c>
      <c r="C697" s="1" t="s">
        <v>2005</v>
      </c>
      <c r="D697" s="1" t="s">
        <v>333</v>
      </c>
      <c r="E697" s="1" t="s">
        <v>16</v>
      </c>
      <c r="F697" s="1" t="s">
        <v>345</v>
      </c>
      <c r="G697" s="1" t="s">
        <v>684</v>
      </c>
      <c r="H697" s="1" t="s">
        <v>586</v>
      </c>
      <c r="I697" s="1" t="s">
        <v>618</v>
      </c>
      <c r="J697" s="1" t="s">
        <v>2006</v>
      </c>
      <c r="K697" s="1" t="s">
        <v>615</v>
      </c>
      <c r="L697" s="5">
        <v>350000</v>
      </c>
      <c r="M697" s="1" t="s">
        <v>345</v>
      </c>
    </row>
    <row r="698" spans="1:13" x14ac:dyDescent="0.25">
      <c r="A698" s="1" t="s">
        <v>26</v>
      </c>
      <c r="B698" s="1" t="s">
        <v>382</v>
      </c>
      <c r="C698" s="1" t="s">
        <v>1475</v>
      </c>
      <c r="D698" s="1" t="s">
        <v>366</v>
      </c>
      <c r="E698" s="1" t="s">
        <v>16</v>
      </c>
      <c r="F698" s="1" t="s">
        <v>23</v>
      </c>
      <c r="G698" s="1" t="s">
        <v>675</v>
      </c>
      <c r="H698" s="1" t="s">
        <v>16</v>
      </c>
      <c r="I698" s="1" t="s">
        <v>1452</v>
      </c>
      <c r="J698" s="1" t="s">
        <v>1490</v>
      </c>
      <c r="K698" s="1" t="s">
        <v>588</v>
      </c>
      <c r="L698" s="5">
        <v>1500000</v>
      </c>
      <c r="M698" s="1" t="s">
        <v>23</v>
      </c>
    </row>
    <row r="699" spans="1:13" x14ac:dyDescent="0.25">
      <c r="A699" s="1" t="s">
        <v>862</v>
      </c>
      <c r="B699" s="1" t="s">
        <v>0</v>
      </c>
      <c r="C699" s="1" t="s">
        <v>905</v>
      </c>
      <c r="D699" s="1" t="s">
        <v>388</v>
      </c>
      <c r="E699" s="1" t="s">
        <v>346</v>
      </c>
      <c r="F699" s="1" t="s">
        <v>332</v>
      </c>
      <c r="G699" s="1" t="s">
        <v>575</v>
      </c>
      <c r="H699" s="1" t="s">
        <v>570</v>
      </c>
      <c r="I699" s="1" t="s">
        <v>618</v>
      </c>
      <c r="J699" s="1" t="s">
        <v>863</v>
      </c>
      <c r="K699" s="1" t="s">
        <v>588</v>
      </c>
      <c r="L699" s="5">
        <v>3000000</v>
      </c>
      <c r="M699" s="1" t="s">
        <v>332</v>
      </c>
    </row>
    <row r="700" spans="1:13" x14ac:dyDescent="0.25">
      <c r="A700" s="1" t="s">
        <v>202</v>
      </c>
      <c r="B700" s="1" t="s">
        <v>325</v>
      </c>
      <c r="C700" s="1" t="s">
        <v>966</v>
      </c>
      <c r="D700" s="1" t="s">
        <v>343</v>
      </c>
      <c r="E700" s="1" t="s">
        <v>16</v>
      </c>
      <c r="F700" s="1" t="s">
        <v>332</v>
      </c>
      <c r="G700" s="1" t="s">
        <v>609</v>
      </c>
      <c r="H700" s="1" t="s">
        <v>16</v>
      </c>
      <c r="I700" s="1" t="s">
        <v>743</v>
      </c>
      <c r="J700" s="1" t="s">
        <v>316</v>
      </c>
      <c r="K700" s="1" t="s">
        <v>578</v>
      </c>
      <c r="L700" s="5">
        <v>1500000</v>
      </c>
      <c r="M700" s="1" t="s">
        <v>332</v>
      </c>
    </row>
    <row r="701" spans="1:13" x14ac:dyDescent="0.25">
      <c r="A701" s="1" t="s">
        <v>889</v>
      </c>
      <c r="B701" s="1" t="s">
        <v>324</v>
      </c>
      <c r="C701" s="1" t="s">
        <v>890</v>
      </c>
      <c r="D701" s="1" t="s">
        <v>430</v>
      </c>
      <c r="E701" s="1" t="s">
        <v>16</v>
      </c>
      <c r="F701" s="1" t="s">
        <v>332</v>
      </c>
      <c r="G701" s="1" t="s">
        <v>702</v>
      </c>
      <c r="H701" s="1" t="s">
        <v>570</v>
      </c>
      <c r="I701" s="3">
        <v>44646</v>
      </c>
      <c r="J701" s="1" t="s">
        <v>619</v>
      </c>
      <c r="K701" s="1" t="s">
        <v>578</v>
      </c>
      <c r="L701" s="5">
        <v>1500000</v>
      </c>
      <c r="M701" s="1" t="s">
        <v>332</v>
      </c>
    </row>
    <row r="702" spans="1:13" x14ac:dyDescent="0.25">
      <c r="A702" s="1" t="s">
        <v>2082</v>
      </c>
      <c r="B702" s="1" t="s">
        <v>331</v>
      </c>
      <c r="C702" s="1" t="s">
        <v>2083</v>
      </c>
      <c r="D702" s="1" t="s">
        <v>346</v>
      </c>
      <c r="E702" s="1" t="s">
        <v>337</v>
      </c>
      <c r="F702" s="1" t="s">
        <v>316</v>
      </c>
      <c r="G702" s="1" t="s">
        <v>656</v>
      </c>
      <c r="H702" s="1" t="s">
        <v>570</v>
      </c>
      <c r="I702" s="1" t="s">
        <v>872</v>
      </c>
      <c r="J702" s="1" t="s">
        <v>731</v>
      </c>
      <c r="K702" s="1" t="s">
        <v>573</v>
      </c>
      <c r="L702" s="5">
        <v>25000</v>
      </c>
      <c r="M702" s="1" t="s">
        <v>316</v>
      </c>
    </row>
    <row r="703" spans="1:13" x14ac:dyDescent="0.25">
      <c r="A703" s="1" t="s">
        <v>236</v>
      </c>
      <c r="B703" s="1" t="s">
        <v>328</v>
      </c>
      <c r="C703" s="1" t="s">
        <v>2029</v>
      </c>
      <c r="D703" s="1" t="s">
        <v>337</v>
      </c>
      <c r="E703" s="1" t="s">
        <v>347</v>
      </c>
      <c r="F703" s="1" t="s">
        <v>590</v>
      </c>
      <c r="G703" s="1" t="s">
        <v>612</v>
      </c>
      <c r="H703" s="1" t="s">
        <v>570</v>
      </c>
      <c r="I703" s="1" t="s">
        <v>642</v>
      </c>
      <c r="J703" s="1" t="s">
        <v>1370</v>
      </c>
      <c r="K703" s="1" t="s">
        <v>16</v>
      </c>
      <c r="L703" s="5">
        <v>100000</v>
      </c>
      <c r="M703" s="1" t="s">
        <v>345</v>
      </c>
    </row>
    <row r="704" spans="1:13" x14ac:dyDescent="0.25">
      <c r="A704" s="1" t="s">
        <v>2</v>
      </c>
      <c r="B704" s="1" t="s">
        <v>382</v>
      </c>
      <c r="C704" s="1" t="s">
        <v>2049</v>
      </c>
      <c r="D704" s="1" t="s">
        <v>337</v>
      </c>
      <c r="E704" s="1" t="s">
        <v>16</v>
      </c>
      <c r="F704" s="1" t="s">
        <v>316</v>
      </c>
      <c r="G704" s="1" t="s">
        <v>575</v>
      </c>
      <c r="H704" s="1" t="s">
        <v>16</v>
      </c>
      <c r="I704" s="1" t="s">
        <v>1170</v>
      </c>
      <c r="J704" s="1" t="s">
        <v>582</v>
      </c>
      <c r="K704" s="1" t="s">
        <v>573</v>
      </c>
      <c r="L704" s="5">
        <v>200000</v>
      </c>
      <c r="M704" s="1" t="s">
        <v>316</v>
      </c>
    </row>
    <row r="705" spans="1:13" x14ac:dyDescent="0.25">
      <c r="A705" s="1" t="s">
        <v>442</v>
      </c>
      <c r="B705" s="1" t="s">
        <v>352</v>
      </c>
      <c r="C705" s="1" t="s">
        <v>944</v>
      </c>
      <c r="D705" s="1" t="s">
        <v>337</v>
      </c>
      <c r="E705" s="1" t="s">
        <v>16</v>
      </c>
      <c r="F705" s="1" t="s">
        <v>332</v>
      </c>
      <c r="G705" s="1" t="s">
        <v>660</v>
      </c>
      <c r="H705" s="1" t="s">
        <v>570</v>
      </c>
      <c r="I705" s="1" t="s">
        <v>882</v>
      </c>
      <c r="J705" s="1" t="s">
        <v>731</v>
      </c>
      <c r="K705" s="1" t="s">
        <v>578</v>
      </c>
      <c r="L705" s="5">
        <v>500000</v>
      </c>
      <c r="M705" s="1" t="s">
        <v>332</v>
      </c>
    </row>
    <row r="706" spans="1:13" x14ac:dyDescent="0.25">
      <c r="A706" s="1" t="s">
        <v>734</v>
      </c>
      <c r="B706" s="1" t="s">
        <v>325</v>
      </c>
      <c r="C706" s="1" t="s">
        <v>600</v>
      </c>
      <c r="D706" s="1" t="s">
        <v>337</v>
      </c>
      <c r="E706" s="1" t="s">
        <v>16</v>
      </c>
      <c r="F706" s="1" t="s">
        <v>349</v>
      </c>
      <c r="G706" s="1" t="s">
        <v>656</v>
      </c>
      <c r="H706" s="1" t="s">
        <v>570</v>
      </c>
      <c r="I706" s="1" t="s">
        <v>735</v>
      </c>
      <c r="J706" s="1" t="s">
        <v>577</v>
      </c>
      <c r="K706" s="1" t="s">
        <v>736</v>
      </c>
      <c r="L706" s="5">
        <v>25000</v>
      </c>
      <c r="M706" s="1" t="s">
        <v>318</v>
      </c>
    </row>
    <row r="707" spans="1:13" x14ac:dyDescent="0.25">
      <c r="A707" s="1" t="s">
        <v>1875</v>
      </c>
      <c r="B707" s="1" t="s">
        <v>328</v>
      </c>
      <c r="C707" s="1" t="s">
        <v>1932</v>
      </c>
      <c r="D707" s="1" t="s">
        <v>337</v>
      </c>
      <c r="E707" s="1" t="s">
        <v>16</v>
      </c>
      <c r="F707" s="1" t="s">
        <v>739</v>
      </c>
      <c r="G707" s="1" t="s">
        <v>702</v>
      </c>
      <c r="H707" s="1" t="s">
        <v>16</v>
      </c>
      <c r="I707" s="1" t="s">
        <v>1930</v>
      </c>
      <c r="J707" s="1" t="s">
        <v>739</v>
      </c>
      <c r="K707" s="1" t="s">
        <v>615</v>
      </c>
      <c r="L707" s="5">
        <v>25000</v>
      </c>
      <c r="M707" s="1" t="s">
        <v>319</v>
      </c>
    </row>
    <row r="708" spans="1:13" x14ac:dyDescent="0.25">
      <c r="A708" s="1" t="s">
        <v>1579</v>
      </c>
      <c r="B708" s="1" t="s">
        <v>382</v>
      </c>
      <c r="C708" s="1" t="s">
        <v>1607</v>
      </c>
      <c r="D708" s="1" t="s">
        <v>337</v>
      </c>
      <c r="E708" s="1" t="s">
        <v>16</v>
      </c>
      <c r="F708" s="1" t="s">
        <v>349</v>
      </c>
      <c r="G708" s="1" t="s">
        <v>675</v>
      </c>
      <c r="H708" s="1" t="s">
        <v>16</v>
      </c>
      <c r="I708" s="1" t="s">
        <v>618</v>
      </c>
      <c r="J708" s="1" t="s">
        <v>912</v>
      </c>
      <c r="K708" s="1" t="s">
        <v>615</v>
      </c>
      <c r="L708" s="5">
        <v>100000</v>
      </c>
      <c r="M708" s="1" t="s">
        <v>349</v>
      </c>
    </row>
    <row r="709" spans="1:13" x14ac:dyDescent="0.25">
      <c r="A709" s="1" t="s">
        <v>1117</v>
      </c>
      <c r="B709" s="1" t="s">
        <v>328</v>
      </c>
      <c r="C709" s="1" t="s">
        <v>1118</v>
      </c>
      <c r="D709" s="1" t="s">
        <v>1119</v>
      </c>
      <c r="E709" s="1" t="s">
        <v>16</v>
      </c>
      <c r="F709" s="1" t="s">
        <v>1120</v>
      </c>
      <c r="G709" s="1" t="s">
        <v>812</v>
      </c>
      <c r="H709" s="1" t="s">
        <v>586</v>
      </c>
      <c r="I709" s="1" t="s">
        <v>653</v>
      </c>
      <c r="J709" s="1" t="s">
        <v>1121</v>
      </c>
      <c r="K709" s="1" t="s">
        <v>1122</v>
      </c>
      <c r="L709" s="5">
        <v>300000</v>
      </c>
      <c r="M709" s="1" t="s">
        <v>338</v>
      </c>
    </row>
    <row r="710" spans="1:13" x14ac:dyDescent="0.25">
      <c r="A710" s="1" t="s">
        <v>222</v>
      </c>
      <c r="B710" s="1" t="s">
        <v>382</v>
      </c>
      <c r="C710" s="1" t="s">
        <v>1955</v>
      </c>
      <c r="D710" s="1" t="s">
        <v>337</v>
      </c>
      <c r="E710" s="1" t="s">
        <v>16</v>
      </c>
      <c r="F710" s="1" t="s">
        <v>1956</v>
      </c>
      <c r="G710" s="1" t="s">
        <v>675</v>
      </c>
      <c r="H710" s="1" t="s">
        <v>570</v>
      </c>
      <c r="I710" s="1" t="s">
        <v>610</v>
      </c>
      <c r="J710" s="1" t="s">
        <v>1957</v>
      </c>
      <c r="K710" s="1" t="s">
        <v>615</v>
      </c>
      <c r="L710" s="5">
        <v>650000</v>
      </c>
      <c r="M710" s="1" t="s">
        <v>345</v>
      </c>
    </row>
    <row r="711" spans="1:13" x14ac:dyDescent="0.25">
      <c r="A711" s="1" t="s">
        <v>1139</v>
      </c>
      <c r="B711" s="1" t="s">
        <v>331</v>
      </c>
      <c r="C711" s="1" t="s">
        <v>1177</v>
      </c>
      <c r="D711" s="1" t="s">
        <v>337</v>
      </c>
      <c r="E711" s="1" t="s">
        <v>16</v>
      </c>
      <c r="F711" s="1" t="s">
        <v>836</v>
      </c>
      <c r="G711" s="1" t="s">
        <v>675</v>
      </c>
      <c r="H711" s="1" t="s">
        <v>570</v>
      </c>
      <c r="I711" s="1" t="s">
        <v>597</v>
      </c>
      <c r="J711" s="1" t="s">
        <v>1148</v>
      </c>
      <c r="K711" s="1" t="s">
        <v>615</v>
      </c>
      <c r="L711" s="5">
        <v>150000</v>
      </c>
      <c r="M711" s="1" t="s">
        <v>344</v>
      </c>
    </row>
    <row r="712" spans="1:13" x14ac:dyDescent="0.25">
      <c r="A712" s="1" t="s">
        <v>125</v>
      </c>
      <c r="B712" s="1" t="s">
        <v>0</v>
      </c>
      <c r="C712" s="1" t="s">
        <v>594</v>
      </c>
      <c r="D712" s="1" t="s">
        <v>337</v>
      </c>
      <c r="E712" s="1" t="s">
        <v>16</v>
      </c>
      <c r="F712" s="1" t="s">
        <v>595</v>
      </c>
      <c r="G712" s="1" t="s">
        <v>596</v>
      </c>
      <c r="H712" s="1" t="s">
        <v>570</v>
      </c>
      <c r="I712" s="1" t="s">
        <v>597</v>
      </c>
      <c r="J712" s="1" t="s">
        <v>598</v>
      </c>
      <c r="K712" s="1" t="s">
        <v>573</v>
      </c>
      <c r="L712" s="5">
        <v>50000</v>
      </c>
      <c r="M712" s="1" t="s">
        <v>318</v>
      </c>
    </row>
    <row r="713" spans="1:13" x14ac:dyDescent="0.25">
      <c r="A713" s="1" t="s">
        <v>1664</v>
      </c>
      <c r="B713" s="1" t="s">
        <v>0</v>
      </c>
      <c r="C713" s="1" t="s">
        <v>777</v>
      </c>
      <c r="D713" s="1" t="s">
        <v>337</v>
      </c>
      <c r="E713" s="1" t="s">
        <v>16</v>
      </c>
      <c r="F713" s="1" t="s">
        <v>997</v>
      </c>
      <c r="G713" s="1" t="s">
        <v>633</v>
      </c>
      <c r="H713" s="1" t="s">
        <v>570</v>
      </c>
      <c r="I713" s="1" t="s">
        <v>1665</v>
      </c>
      <c r="J713" s="1" t="s">
        <v>1666</v>
      </c>
      <c r="K713" s="1" t="s">
        <v>573</v>
      </c>
      <c r="L713" s="5">
        <v>800000</v>
      </c>
      <c r="M713" s="1" t="s">
        <v>361</v>
      </c>
    </row>
    <row r="714" spans="1:13" x14ac:dyDescent="0.25">
      <c r="A714" s="1" t="s">
        <v>377</v>
      </c>
      <c r="B714" s="1" t="s">
        <v>328</v>
      </c>
      <c r="C714" s="1" t="s">
        <v>2182</v>
      </c>
      <c r="D714" s="1" t="s">
        <v>385</v>
      </c>
      <c r="E714" s="1" t="s">
        <v>16</v>
      </c>
      <c r="F714" s="1" t="s">
        <v>2183</v>
      </c>
      <c r="G714" s="1" t="s">
        <v>612</v>
      </c>
      <c r="H714" s="1" t="s">
        <v>586</v>
      </c>
      <c r="I714" s="1" t="s">
        <v>874</v>
      </c>
      <c r="J714" s="1" t="s">
        <v>2184</v>
      </c>
      <c r="K714" s="1" t="s">
        <v>651</v>
      </c>
      <c r="L714" s="5">
        <v>1800000</v>
      </c>
      <c r="M714" s="1" t="s">
        <v>383</v>
      </c>
    </row>
    <row r="715" spans="1:13" x14ac:dyDescent="0.25">
      <c r="A715" s="1" t="s">
        <v>1484</v>
      </c>
      <c r="B715" s="1" t="s">
        <v>324</v>
      </c>
      <c r="C715" s="1" t="s">
        <v>1556</v>
      </c>
      <c r="D715" s="1" t="s">
        <v>430</v>
      </c>
      <c r="E715" s="1" t="s">
        <v>16</v>
      </c>
      <c r="F715" s="1" t="s">
        <v>23</v>
      </c>
      <c r="G715" s="1" t="s">
        <v>769</v>
      </c>
      <c r="H715" s="1" t="s">
        <v>570</v>
      </c>
      <c r="I715" s="1" t="s">
        <v>1335</v>
      </c>
      <c r="J715" s="1" t="s">
        <v>1505</v>
      </c>
      <c r="K715" s="1" t="s">
        <v>573</v>
      </c>
      <c r="L715" s="5">
        <v>1200000</v>
      </c>
      <c r="M715" s="1" t="s">
        <v>23</v>
      </c>
    </row>
    <row r="716" spans="1:13" x14ac:dyDescent="0.25">
      <c r="A716" s="1" t="s">
        <v>130</v>
      </c>
      <c r="B716" s="1" t="s">
        <v>382</v>
      </c>
      <c r="C716" s="1" t="s">
        <v>611</v>
      </c>
      <c r="D716" s="1" t="s">
        <v>336</v>
      </c>
      <c r="E716" s="1" t="s">
        <v>537</v>
      </c>
      <c r="F716" s="1" t="s">
        <v>318</v>
      </c>
      <c r="G716" s="1" t="s">
        <v>612</v>
      </c>
      <c r="H716" s="1" t="s">
        <v>586</v>
      </c>
      <c r="I716" s="1" t="s">
        <v>613</v>
      </c>
      <c r="J716" s="1" t="s">
        <v>614</v>
      </c>
      <c r="K716" s="1" t="s">
        <v>615</v>
      </c>
      <c r="L716" s="5">
        <v>500000</v>
      </c>
      <c r="M716" s="1" t="s">
        <v>318</v>
      </c>
    </row>
    <row r="717" spans="1:13" x14ac:dyDescent="0.25">
      <c r="A717" s="1" t="s">
        <v>900</v>
      </c>
      <c r="B717" s="1" t="s">
        <v>359</v>
      </c>
      <c r="C717" s="1" t="s">
        <v>945</v>
      </c>
      <c r="D717" s="1" t="s">
        <v>388</v>
      </c>
      <c r="E717" s="1" t="s">
        <v>16</v>
      </c>
      <c r="F717" s="1" t="s">
        <v>946</v>
      </c>
      <c r="G717" s="1" t="s">
        <v>722</v>
      </c>
      <c r="H717" s="1" t="s">
        <v>586</v>
      </c>
      <c r="I717" s="1" t="s">
        <v>618</v>
      </c>
      <c r="J717" s="1" t="s">
        <v>338</v>
      </c>
      <c r="K717" s="1" t="s">
        <v>947</v>
      </c>
      <c r="L717" s="5">
        <v>150000</v>
      </c>
      <c r="M717" s="1" t="s">
        <v>332</v>
      </c>
    </row>
    <row r="718" spans="1:13" x14ac:dyDescent="0.25">
      <c r="A718" s="1" t="s">
        <v>269</v>
      </c>
      <c r="B718" s="1" t="s">
        <v>325</v>
      </c>
      <c r="C718" s="1" t="s">
        <v>2200</v>
      </c>
      <c r="D718" s="1" t="s">
        <v>362</v>
      </c>
      <c r="E718" s="1" t="s">
        <v>16</v>
      </c>
      <c r="F718" s="1" t="s">
        <v>383</v>
      </c>
      <c r="G718" s="1" t="s">
        <v>675</v>
      </c>
      <c r="H718" s="1" t="s">
        <v>570</v>
      </c>
      <c r="I718" s="1" t="s">
        <v>1046</v>
      </c>
      <c r="J718" s="1" t="s">
        <v>2201</v>
      </c>
      <c r="K718" s="1" t="s">
        <v>573</v>
      </c>
      <c r="L718" s="5">
        <v>200000</v>
      </c>
      <c r="M718" s="1" t="s">
        <v>383</v>
      </c>
    </row>
    <row r="719" spans="1:13" x14ac:dyDescent="0.25">
      <c r="A719" s="1" t="s">
        <v>1050</v>
      </c>
      <c r="B719" s="1" t="s">
        <v>0</v>
      </c>
      <c r="C719" s="1" t="s">
        <v>1051</v>
      </c>
      <c r="D719" s="1" t="s">
        <v>388</v>
      </c>
      <c r="E719" s="1" t="s">
        <v>347</v>
      </c>
      <c r="F719" s="1" t="s">
        <v>361</v>
      </c>
      <c r="G719" s="1" t="s">
        <v>609</v>
      </c>
      <c r="H719" s="1" t="s">
        <v>570</v>
      </c>
      <c r="I719" s="1" t="s">
        <v>610</v>
      </c>
      <c r="J719" s="1" t="s">
        <v>731</v>
      </c>
      <c r="K719" s="1" t="s">
        <v>615</v>
      </c>
      <c r="L719" s="5">
        <v>450000</v>
      </c>
      <c r="M719" s="1" t="s">
        <v>338</v>
      </c>
    </row>
    <row r="720" spans="1:13" x14ac:dyDescent="0.25">
      <c r="A720" s="1" t="s">
        <v>1050</v>
      </c>
      <c r="B720" s="1" t="s">
        <v>0</v>
      </c>
      <c r="C720" s="1" t="s">
        <v>1051</v>
      </c>
      <c r="D720" s="1" t="s">
        <v>388</v>
      </c>
      <c r="E720" s="1" t="s">
        <v>347</v>
      </c>
      <c r="F720" s="1" t="s">
        <v>361</v>
      </c>
      <c r="G720" s="1" t="s">
        <v>609</v>
      </c>
      <c r="H720" s="1" t="s">
        <v>570</v>
      </c>
      <c r="I720" s="1" t="s">
        <v>1057</v>
      </c>
      <c r="J720" s="1" t="s">
        <v>338</v>
      </c>
      <c r="K720" s="1" t="s">
        <v>615</v>
      </c>
      <c r="L720" s="5">
        <v>450000</v>
      </c>
      <c r="M720" s="1" t="s">
        <v>361</v>
      </c>
    </row>
    <row r="721" spans="1:13" x14ac:dyDescent="0.25">
      <c r="A721" s="1" t="s">
        <v>505</v>
      </c>
      <c r="B721" s="1" t="s">
        <v>382</v>
      </c>
      <c r="C721" s="1" t="s">
        <v>866</v>
      </c>
      <c r="D721" s="1" t="s">
        <v>364</v>
      </c>
      <c r="E721" s="1" t="s">
        <v>16</v>
      </c>
      <c r="F721" s="1" t="s">
        <v>332</v>
      </c>
      <c r="G721" s="1" t="s">
        <v>633</v>
      </c>
      <c r="H721" s="1" t="s">
        <v>570</v>
      </c>
      <c r="I721" s="1" t="s">
        <v>618</v>
      </c>
      <c r="J721" s="1" t="s">
        <v>361</v>
      </c>
      <c r="K721" s="1" t="s">
        <v>588</v>
      </c>
      <c r="L721" s="5">
        <v>800000</v>
      </c>
      <c r="M721" s="1" t="s">
        <v>332</v>
      </c>
    </row>
    <row r="722" spans="1:13" x14ac:dyDescent="0.25">
      <c r="A722" s="1" t="s">
        <v>15</v>
      </c>
      <c r="B722" s="1" t="s">
        <v>330</v>
      </c>
      <c r="C722" s="1" t="s">
        <v>2084</v>
      </c>
      <c r="D722" s="1" t="s">
        <v>346</v>
      </c>
      <c r="E722" s="1" t="s">
        <v>364</v>
      </c>
      <c r="F722" s="1" t="s">
        <v>701</v>
      </c>
      <c r="G722" s="1" t="s">
        <v>684</v>
      </c>
      <c r="H722" s="1" t="s">
        <v>570</v>
      </c>
      <c r="I722" s="1" t="s">
        <v>2085</v>
      </c>
      <c r="J722" s="1" t="s">
        <v>2086</v>
      </c>
      <c r="K722" s="1" t="s">
        <v>615</v>
      </c>
      <c r="L722" s="5">
        <v>150000</v>
      </c>
      <c r="M722" s="1" t="s">
        <v>316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F1447-FBA5-41CA-A92B-D8B0C66EC4BF}">
  <sheetPr codeName="Sheet5"/>
  <dimension ref="A1:R722"/>
  <sheetViews>
    <sheetView tabSelected="1" workbookViewId="0">
      <selection activeCell="D1" sqref="D1:D1048576"/>
    </sheetView>
  </sheetViews>
  <sheetFormatPr defaultRowHeight="15" x14ac:dyDescent="0.25"/>
  <cols>
    <col min="1" max="1" width="22.28515625" customWidth="1"/>
    <col min="2" max="2" width="19.7109375" customWidth="1"/>
    <col min="3" max="3" width="19" customWidth="1"/>
    <col min="4" max="4" width="23.5703125" customWidth="1"/>
    <col min="5" max="5" width="14.140625" customWidth="1"/>
    <col min="6" max="6" width="21.42578125" customWidth="1"/>
    <col min="7" max="7" width="11.42578125" customWidth="1"/>
    <col min="8" max="8" width="10.7109375" customWidth="1"/>
    <col min="9" max="9" width="9.28515625" customWidth="1"/>
    <col min="11" max="11" width="13.140625" customWidth="1"/>
    <col min="12" max="12" width="23.140625" customWidth="1"/>
    <col min="13" max="13" width="17.28515625" customWidth="1"/>
    <col min="14" max="14" width="22.5703125" customWidth="1"/>
    <col min="15" max="15" width="21.85546875" style="2" customWidth="1"/>
    <col min="16" max="16" width="14.28515625" style="4" customWidth="1"/>
    <col min="17" max="17" width="9.42578125" customWidth="1"/>
    <col min="18" max="18" width="19" customWidth="1"/>
    <col min="19" max="19" width="14.7109375" customWidth="1"/>
  </cols>
  <sheetData>
    <row r="1" spans="1:18" x14ac:dyDescent="0.25">
      <c r="A1" t="s">
        <v>320</v>
      </c>
      <c r="B1" t="s">
        <v>542</v>
      </c>
      <c r="C1" t="s">
        <v>323</v>
      </c>
      <c r="D1" t="s">
        <v>322</v>
      </c>
      <c r="E1" t="s">
        <v>541</v>
      </c>
      <c r="F1" t="s">
        <v>2277</v>
      </c>
      <c r="G1" t="s">
        <v>538</v>
      </c>
      <c r="H1" t="s">
        <v>539</v>
      </c>
      <c r="I1" t="s">
        <v>540</v>
      </c>
      <c r="J1" t="s">
        <v>2308</v>
      </c>
      <c r="K1" t="s">
        <v>2310</v>
      </c>
      <c r="L1" t="s">
        <v>2309</v>
      </c>
      <c r="M1" t="s">
        <v>2311</v>
      </c>
      <c r="N1" t="s">
        <v>2312</v>
      </c>
      <c r="O1" s="2" t="s">
        <v>2278</v>
      </c>
      <c r="P1" s="4" t="s">
        <v>2313</v>
      </c>
      <c r="Q1" t="s">
        <v>321</v>
      </c>
      <c r="R1" t="s">
        <v>2448</v>
      </c>
    </row>
    <row r="2" spans="1:18" x14ac:dyDescent="0.25">
      <c r="A2" t="s">
        <v>186</v>
      </c>
      <c r="B2" t="s">
        <v>326</v>
      </c>
      <c r="C2">
        <v>21</v>
      </c>
      <c r="D2" t="s">
        <v>549</v>
      </c>
      <c r="F2">
        <v>9</v>
      </c>
      <c r="G2">
        <v>8</v>
      </c>
      <c r="H2">
        <v>0</v>
      </c>
      <c r="I2">
        <v>0</v>
      </c>
      <c r="J2">
        <v>1</v>
      </c>
      <c r="K2">
        <v>0</v>
      </c>
      <c r="L2">
        <v>1</v>
      </c>
      <c r="M2">
        <v>6</v>
      </c>
      <c r="N2">
        <v>2</v>
      </c>
      <c r="O2" s="2" t="s">
        <v>2376</v>
      </c>
      <c r="P2" s="4">
        <v>287</v>
      </c>
      <c r="Q2" t="s">
        <v>315</v>
      </c>
      <c r="R2" t="str">
        <f>IF(Table3[[#This Row],[Narodowość]]&lt;&gt;"Polska","Tak","Nie")</f>
        <v>Tak</v>
      </c>
    </row>
    <row r="3" spans="1:18" x14ac:dyDescent="0.25">
      <c r="A3" t="s">
        <v>270</v>
      </c>
      <c r="B3" t="s">
        <v>382</v>
      </c>
      <c r="C3">
        <v>22</v>
      </c>
      <c r="D3" t="s">
        <v>337</v>
      </c>
      <c r="F3">
        <v>15</v>
      </c>
      <c r="G3">
        <v>9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3</v>
      </c>
      <c r="O3" s="2" t="s">
        <v>2379</v>
      </c>
      <c r="P3" s="4">
        <v>683</v>
      </c>
      <c r="Q3" t="s">
        <v>339</v>
      </c>
      <c r="R3" t="str">
        <f>IF(Table3[[#This Row],[Narodowość]]&lt;&gt;"Polska","Tak","Nie")</f>
        <v>Nie</v>
      </c>
    </row>
    <row r="4" spans="1:18" x14ac:dyDescent="0.25">
      <c r="A4" t="s">
        <v>518</v>
      </c>
      <c r="B4" t="s">
        <v>357</v>
      </c>
      <c r="C4">
        <v>32</v>
      </c>
      <c r="D4" t="s">
        <v>362</v>
      </c>
      <c r="F4">
        <v>10</v>
      </c>
      <c r="G4">
        <v>10</v>
      </c>
      <c r="H4">
        <v>0</v>
      </c>
      <c r="I4">
        <v>1</v>
      </c>
      <c r="J4">
        <v>1</v>
      </c>
      <c r="K4">
        <v>0</v>
      </c>
      <c r="L4">
        <v>0</v>
      </c>
      <c r="M4">
        <v>4</v>
      </c>
      <c r="N4">
        <v>2</v>
      </c>
      <c r="O4" s="2" t="s">
        <v>2301</v>
      </c>
      <c r="P4" s="4">
        <v>616</v>
      </c>
      <c r="Q4" t="s">
        <v>316</v>
      </c>
      <c r="R4" t="str">
        <f>IF(Table3[[#This Row],[Narodowość]]&lt;&gt;"Polska","Tak","Nie")</f>
        <v>Tak</v>
      </c>
    </row>
    <row r="5" spans="1:18" x14ac:dyDescent="0.25">
      <c r="A5" t="s">
        <v>409</v>
      </c>
      <c r="B5" t="s">
        <v>357</v>
      </c>
      <c r="C5">
        <v>23</v>
      </c>
      <c r="D5" t="s">
        <v>337</v>
      </c>
      <c r="F5">
        <v>27</v>
      </c>
      <c r="G5">
        <v>26</v>
      </c>
      <c r="H5">
        <v>2</v>
      </c>
      <c r="I5">
        <v>2</v>
      </c>
      <c r="J5">
        <v>2</v>
      </c>
      <c r="K5">
        <v>0</v>
      </c>
      <c r="L5">
        <v>0</v>
      </c>
      <c r="M5">
        <v>7</v>
      </c>
      <c r="N5">
        <v>14</v>
      </c>
      <c r="O5" s="2" t="s">
        <v>2435</v>
      </c>
      <c r="P5" s="4">
        <v>1585</v>
      </c>
      <c r="Q5" t="s">
        <v>316</v>
      </c>
      <c r="R5" t="str">
        <f>IF(Table3[[#This Row],[Narodowość]]&lt;&gt;"Polska","Tak","Nie")</f>
        <v>Nie</v>
      </c>
    </row>
    <row r="6" spans="1:18" x14ac:dyDescent="0.25">
      <c r="A6" t="s">
        <v>296</v>
      </c>
      <c r="B6" t="s">
        <v>324</v>
      </c>
      <c r="C6">
        <v>19</v>
      </c>
      <c r="D6" t="s">
        <v>337</v>
      </c>
      <c r="F6">
        <v>15</v>
      </c>
      <c r="G6">
        <v>11</v>
      </c>
      <c r="H6">
        <v>0</v>
      </c>
      <c r="I6">
        <v>0</v>
      </c>
      <c r="J6">
        <v>0</v>
      </c>
      <c r="K6">
        <v>0</v>
      </c>
      <c r="L6">
        <v>0</v>
      </c>
      <c r="M6">
        <v>7</v>
      </c>
      <c r="N6">
        <v>3</v>
      </c>
      <c r="O6" s="2" t="s">
        <v>2424</v>
      </c>
      <c r="P6" s="4">
        <v>475</v>
      </c>
      <c r="Q6" t="s">
        <v>340</v>
      </c>
      <c r="R6" t="str">
        <f>IF(Table3[[#This Row],[Narodowość]]&lt;&gt;"Polska","Tak","Nie")</f>
        <v>Nie</v>
      </c>
    </row>
    <row r="7" spans="1:18" x14ac:dyDescent="0.25">
      <c r="A7" t="s">
        <v>25</v>
      </c>
      <c r="B7" t="s">
        <v>0</v>
      </c>
      <c r="C7">
        <v>23</v>
      </c>
      <c r="D7" t="s">
        <v>337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s="2">
        <v>0</v>
      </c>
      <c r="P7" s="4">
        <v>0</v>
      </c>
      <c r="Q7" t="s">
        <v>23</v>
      </c>
      <c r="R7" t="str">
        <f>IF(Table3[[#This Row],[Narodowość]]&lt;&gt;"Polska","Tak","Nie")</f>
        <v>Nie</v>
      </c>
    </row>
    <row r="8" spans="1:18" x14ac:dyDescent="0.25">
      <c r="A8" t="s">
        <v>254</v>
      </c>
      <c r="B8" t="s">
        <v>325</v>
      </c>
      <c r="C8">
        <v>27</v>
      </c>
      <c r="D8" t="s">
        <v>350</v>
      </c>
      <c r="F8">
        <v>29</v>
      </c>
      <c r="G8">
        <v>29</v>
      </c>
      <c r="H8">
        <v>9</v>
      </c>
      <c r="I8">
        <v>2</v>
      </c>
      <c r="J8">
        <v>4</v>
      </c>
      <c r="K8">
        <v>0</v>
      </c>
      <c r="L8">
        <v>0</v>
      </c>
      <c r="M8">
        <v>5</v>
      </c>
      <c r="N8">
        <v>12</v>
      </c>
      <c r="O8" s="2" t="s">
        <v>2385</v>
      </c>
      <c r="P8" s="4">
        <v>2086</v>
      </c>
      <c r="Q8" t="s">
        <v>349</v>
      </c>
      <c r="R8" t="str">
        <f>IF(Table3[[#This Row],[Narodowość]]&lt;&gt;"Polska","Tak","Nie")</f>
        <v>Tak</v>
      </c>
    </row>
    <row r="9" spans="1:18" x14ac:dyDescent="0.25">
      <c r="A9" t="s">
        <v>2139</v>
      </c>
      <c r="B9" t="s">
        <v>382</v>
      </c>
      <c r="C9">
        <v>29</v>
      </c>
      <c r="D9" t="s">
        <v>346</v>
      </c>
      <c r="F9">
        <v>10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s="2">
        <v>0</v>
      </c>
      <c r="P9" s="4">
        <v>0</v>
      </c>
      <c r="Q9" t="s">
        <v>383</v>
      </c>
      <c r="R9" t="str">
        <f>IF(Table3[[#This Row],[Narodowość]]&lt;&gt;"Polska","Tak","Nie")</f>
        <v>Tak</v>
      </c>
    </row>
    <row r="10" spans="1:18" x14ac:dyDescent="0.25">
      <c r="A10" t="s">
        <v>221</v>
      </c>
      <c r="B10" t="s">
        <v>331</v>
      </c>
      <c r="C10">
        <v>18</v>
      </c>
      <c r="D10" t="s">
        <v>337</v>
      </c>
      <c r="F10">
        <v>6</v>
      </c>
      <c r="G10">
        <v>2</v>
      </c>
      <c r="H10">
        <v>0</v>
      </c>
      <c r="I10">
        <v>0</v>
      </c>
      <c r="J10">
        <v>0</v>
      </c>
      <c r="K10">
        <v>0</v>
      </c>
      <c r="L10">
        <v>0</v>
      </c>
      <c r="M10">
        <v>2</v>
      </c>
      <c r="N10">
        <v>0</v>
      </c>
      <c r="O10" s="2" t="s">
        <v>2291</v>
      </c>
      <c r="P10" s="4">
        <v>8</v>
      </c>
      <c r="Q10" t="s">
        <v>345</v>
      </c>
      <c r="R10" t="str">
        <f>IF(Table3[[#This Row],[Narodowość]]&lt;&gt;"Polska","Tak","Nie")</f>
        <v>Nie</v>
      </c>
    </row>
    <row r="11" spans="1:18" x14ac:dyDescent="0.25">
      <c r="A11" t="s">
        <v>2249</v>
      </c>
      <c r="B11" t="s">
        <v>330</v>
      </c>
      <c r="C11">
        <v>26</v>
      </c>
      <c r="D11" t="s">
        <v>337</v>
      </c>
      <c r="F11">
        <v>4</v>
      </c>
      <c r="G11">
        <v>3</v>
      </c>
      <c r="H11">
        <v>0</v>
      </c>
      <c r="I11">
        <v>0</v>
      </c>
      <c r="J11">
        <v>0</v>
      </c>
      <c r="K11">
        <v>0</v>
      </c>
      <c r="L11">
        <v>0</v>
      </c>
      <c r="M11">
        <v>2</v>
      </c>
      <c r="N11">
        <v>1</v>
      </c>
      <c r="O11" s="2" t="s">
        <v>2368</v>
      </c>
      <c r="P11" s="4">
        <v>81</v>
      </c>
      <c r="Q11" t="s">
        <v>348</v>
      </c>
      <c r="R11" t="str">
        <f>IF(Table3[[#This Row],[Narodowość]]&lt;&gt;"Polska","Tak","Nie")</f>
        <v>Nie</v>
      </c>
    </row>
    <row r="12" spans="1:18" x14ac:dyDescent="0.25">
      <c r="A12" t="s">
        <v>64</v>
      </c>
      <c r="B12" t="s">
        <v>331</v>
      </c>
      <c r="C12">
        <v>18</v>
      </c>
      <c r="D12" t="s">
        <v>337</v>
      </c>
      <c r="F12">
        <v>27</v>
      </c>
      <c r="G12">
        <v>10</v>
      </c>
      <c r="H12">
        <v>0</v>
      </c>
      <c r="I12">
        <v>1</v>
      </c>
      <c r="J12">
        <v>1</v>
      </c>
      <c r="K12">
        <v>0</v>
      </c>
      <c r="L12">
        <v>0</v>
      </c>
      <c r="M12">
        <v>9</v>
      </c>
      <c r="N12">
        <v>1</v>
      </c>
      <c r="O12" s="2" t="s">
        <v>2399</v>
      </c>
      <c r="P12" s="4">
        <v>221</v>
      </c>
      <c r="Q12" t="s">
        <v>317</v>
      </c>
      <c r="R12" t="str">
        <f>IF(Table3[[#This Row],[Narodowość]]&lt;&gt;"Polska","Tak","Nie")</f>
        <v>Nie</v>
      </c>
    </row>
    <row r="13" spans="1:18" x14ac:dyDescent="0.25">
      <c r="A13" t="s">
        <v>60</v>
      </c>
      <c r="B13" t="s">
        <v>382</v>
      </c>
      <c r="C13">
        <v>21</v>
      </c>
      <c r="D13" t="s">
        <v>337</v>
      </c>
      <c r="F13">
        <v>23</v>
      </c>
      <c r="G13">
        <v>22</v>
      </c>
      <c r="H13">
        <v>1</v>
      </c>
      <c r="I13">
        <v>0</v>
      </c>
      <c r="J13">
        <v>8</v>
      </c>
      <c r="K13">
        <v>0</v>
      </c>
      <c r="L13">
        <v>0</v>
      </c>
      <c r="M13">
        <v>0</v>
      </c>
      <c r="N13">
        <v>1</v>
      </c>
      <c r="O13" s="2" t="s">
        <v>2373</v>
      </c>
      <c r="P13" s="4">
        <v>1970</v>
      </c>
      <c r="Q13" t="s">
        <v>317</v>
      </c>
      <c r="R13" t="str">
        <f>IF(Table3[[#This Row],[Narodowość]]&lt;&gt;"Polska","Tak","Nie")</f>
        <v>Nie</v>
      </c>
    </row>
    <row r="14" spans="1:18" x14ac:dyDescent="0.25">
      <c r="A14" t="s">
        <v>46</v>
      </c>
      <c r="B14" t="s">
        <v>0</v>
      </c>
      <c r="C14">
        <v>22</v>
      </c>
      <c r="D14" t="s">
        <v>337</v>
      </c>
      <c r="F14">
        <v>23</v>
      </c>
      <c r="G14">
        <v>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s="2" t="s">
        <v>2405</v>
      </c>
      <c r="P14" s="4">
        <v>180</v>
      </c>
      <c r="Q14" t="s">
        <v>348</v>
      </c>
      <c r="R14" t="str">
        <f>IF(Table3[[#This Row],[Narodowość]]&lt;&gt;"Polska","Tak","Nie")</f>
        <v>Nie</v>
      </c>
    </row>
    <row r="15" spans="1:18" x14ac:dyDescent="0.25">
      <c r="A15" t="s">
        <v>241</v>
      </c>
      <c r="B15" t="s">
        <v>0</v>
      </c>
      <c r="C15">
        <v>29</v>
      </c>
      <c r="D15" t="s">
        <v>337</v>
      </c>
      <c r="F15">
        <v>34</v>
      </c>
      <c r="G15">
        <v>25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s="2" t="s">
        <v>2406</v>
      </c>
      <c r="P15" s="4">
        <v>2250</v>
      </c>
      <c r="Q15" t="s">
        <v>349</v>
      </c>
      <c r="R15" t="str">
        <f>IF(Table3[[#This Row],[Narodowość]]&lt;&gt;"Polska","Tak","Nie")</f>
        <v>Nie</v>
      </c>
    </row>
    <row r="16" spans="1:18" x14ac:dyDescent="0.25">
      <c r="A16" t="s">
        <v>389</v>
      </c>
      <c r="B16" t="s">
        <v>324</v>
      </c>
      <c r="C16">
        <v>21</v>
      </c>
      <c r="D16" t="s">
        <v>337</v>
      </c>
      <c r="F16">
        <v>30</v>
      </c>
      <c r="G16">
        <v>20</v>
      </c>
      <c r="H16">
        <v>5</v>
      </c>
      <c r="I16">
        <v>0</v>
      </c>
      <c r="J16">
        <v>0</v>
      </c>
      <c r="K16">
        <v>0</v>
      </c>
      <c r="L16">
        <v>0</v>
      </c>
      <c r="M16">
        <v>19</v>
      </c>
      <c r="N16">
        <v>1</v>
      </c>
      <c r="O16" s="2" t="s">
        <v>2405</v>
      </c>
      <c r="P16" s="4">
        <v>363</v>
      </c>
      <c r="Q16" t="s">
        <v>345</v>
      </c>
      <c r="R16" t="str">
        <f>IF(Table3[[#This Row],[Narodowość]]&lt;&gt;"Polska","Tak","Nie")</f>
        <v>Nie</v>
      </c>
    </row>
    <row r="17" spans="1:18" x14ac:dyDescent="0.25">
      <c r="A17" t="s">
        <v>218</v>
      </c>
      <c r="B17" t="s">
        <v>325</v>
      </c>
      <c r="C17">
        <v>20</v>
      </c>
      <c r="D17" t="s">
        <v>337</v>
      </c>
      <c r="F17">
        <v>20</v>
      </c>
      <c r="G17">
        <v>10</v>
      </c>
      <c r="H17">
        <v>0</v>
      </c>
      <c r="I17">
        <v>0</v>
      </c>
      <c r="J17">
        <v>0</v>
      </c>
      <c r="K17">
        <v>0</v>
      </c>
      <c r="L17">
        <v>0</v>
      </c>
      <c r="M17">
        <v>9</v>
      </c>
      <c r="N17">
        <v>1</v>
      </c>
      <c r="O17" s="2" t="s">
        <v>2367</v>
      </c>
      <c r="P17" s="4">
        <v>103</v>
      </c>
      <c r="Q17" t="s">
        <v>319</v>
      </c>
      <c r="R17" t="str">
        <f>IF(Table3[[#This Row],[Narodowość]]&lt;&gt;"Polska","Tak","Nie")</f>
        <v>Nie</v>
      </c>
    </row>
    <row r="18" spans="1:18" x14ac:dyDescent="0.25">
      <c r="A18" t="s">
        <v>100</v>
      </c>
      <c r="B18" t="s">
        <v>328</v>
      </c>
      <c r="C18">
        <v>24</v>
      </c>
      <c r="D18" t="s">
        <v>419</v>
      </c>
      <c r="F18">
        <v>26</v>
      </c>
      <c r="G18">
        <v>25</v>
      </c>
      <c r="H18">
        <v>1</v>
      </c>
      <c r="I18">
        <v>3</v>
      </c>
      <c r="J18">
        <v>3</v>
      </c>
      <c r="K18">
        <v>0</v>
      </c>
      <c r="L18">
        <v>0</v>
      </c>
      <c r="M18">
        <v>11</v>
      </c>
      <c r="N18">
        <v>12</v>
      </c>
      <c r="O18" s="2" t="s">
        <v>2328</v>
      </c>
      <c r="P18" s="4">
        <v>1256</v>
      </c>
      <c r="Q18" t="s">
        <v>334</v>
      </c>
      <c r="R18" t="str">
        <f>IF(Table3[[#This Row],[Narodowość]]&lt;&gt;"Polska","Tak","Nie")</f>
        <v>Tak</v>
      </c>
    </row>
    <row r="19" spans="1:18" x14ac:dyDescent="0.25">
      <c r="A19" t="s">
        <v>452</v>
      </c>
      <c r="B19" t="s">
        <v>376</v>
      </c>
      <c r="C19">
        <v>28</v>
      </c>
      <c r="D19" t="s">
        <v>337</v>
      </c>
      <c r="F19">
        <v>18</v>
      </c>
      <c r="G19">
        <v>11</v>
      </c>
      <c r="H19">
        <v>1</v>
      </c>
      <c r="I19">
        <v>1</v>
      </c>
      <c r="J19">
        <v>0</v>
      </c>
      <c r="K19">
        <v>0</v>
      </c>
      <c r="L19">
        <v>0</v>
      </c>
      <c r="M19">
        <v>5</v>
      </c>
      <c r="N19">
        <v>3</v>
      </c>
      <c r="O19" s="2" t="s">
        <v>2322</v>
      </c>
      <c r="P19" s="4">
        <v>464</v>
      </c>
      <c r="Q19" t="s">
        <v>334</v>
      </c>
      <c r="R19" t="str">
        <f>IF(Table3[[#This Row],[Narodowość]]&lt;&gt;"Polska","Tak","Nie")</f>
        <v>Nie</v>
      </c>
    </row>
    <row r="20" spans="1:18" x14ac:dyDescent="0.25">
      <c r="A20" t="s">
        <v>263</v>
      </c>
      <c r="B20" t="s">
        <v>382</v>
      </c>
      <c r="C20">
        <v>27</v>
      </c>
      <c r="D20" t="s">
        <v>337</v>
      </c>
      <c r="F20">
        <v>4</v>
      </c>
      <c r="G20">
        <v>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s="2" t="s">
        <v>2301</v>
      </c>
      <c r="P20" s="4">
        <v>270</v>
      </c>
      <c r="Q20" t="s">
        <v>383</v>
      </c>
      <c r="R20" t="str">
        <f>IF(Table3[[#This Row],[Narodowość]]&lt;&gt;"Polska","Tak","Nie")</f>
        <v>Nie</v>
      </c>
    </row>
    <row r="21" spans="1:18" x14ac:dyDescent="0.25">
      <c r="A21" t="s">
        <v>66</v>
      </c>
      <c r="B21" t="s">
        <v>330</v>
      </c>
      <c r="C21">
        <v>23</v>
      </c>
      <c r="D21" t="s">
        <v>405</v>
      </c>
      <c r="F21">
        <v>30</v>
      </c>
      <c r="G21">
        <v>30</v>
      </c>
      <c r="H21">
        <v>2</v>
      </c>
      <c r="I21">
        <v>2</v>
      </c>
      <c r="J21">
        <v>8</v>
      </c>
      <c r="K21">
        <v>0</v>
      </c>
      <c r="L21">
        <v>0</v>
      </c>
      <c r="M21">
        <v>0</v>
      </c>
      <c r="N21">
        <v>15</v>
      </c>
      <c r="O21" s="2" t="s">
        <v>2396</v>
      </c>
      <c r="P21" s="4">
        <v>2440</v>
      </c>
      <c r="Q21" t="s">
        <v>317</v>
      </c>
      <c r="R21" t="str">
        <f>IF(Table3[[#This Row],[Narodowość]]&lt;&gt;"Polska","Tak","Nie")</f>
        <v>Tak</v>
      </c>
    </row>
    <row r="22" spans="1:18" x14ac:dyDescent="0.25">
      <c r="A22" t="s">
        <v>1580</v>
      </c>
      <c r="B22" t="s">
        <v>382</v>
      </c>
      <c r="C22">
        <v>17</v>
      </c>
      <c r="D22" t="s">
        <v>337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s="2">
        <v>0</v>
      </c>
      <c r="P22" s="4">
        <v>0</v>
      </c>
      <c r="Q22" t="s">
        <v>349</v>
      </c>
      <c r="R22" t="str">
        <f>IF(Table3[[#This Row],[Narodowość]]&lt;&gt;"Polska","Tak","Nie")</f>
        <v>Nie</v>
      </c>
    </row>
    <row r="23" spans="1:18" x14ac:dyDescent="0.25">
      <c r="A23" t="s">
        <v>154</v>
      </c>
      <c r="B23" t="s">
        <v>325</v>
      </c>
      <c r="C23">
        <v>24</v>
      </c>
      <c r="D23" t="s">
        <v>333</v>
      </c>
      <c r="F23">
        <v>34</v>
      </c>
      <c r="G23">
        <v>32</v>
      </c>
      <c r="H23">
        <v>6</v>
      </c>
      <c r="I23">
        <v>2</v>
      </c>
      <c r="J23">
        <v>3</v>
      </c>
      <c r="K23">
        <v>0</v>
      </c>
      <c r="L23">
        <v>0</v>
      </c>
      <c r="M23">
        <v>15</v>
      </c>
      <c r="N23">
        <v>15</v>
      </c>
      <c r="O23" s="2" t="s">
        <v>2375</v>
      </c>
      <c r="P23" s="4">
        <v>1686</v>
      </c>
      <c r="Q23" t="s">
        <v>344</v>
      </c>
      <c r="R23" t="str">
        <f>IF(Table3[[#This Row],[Narodowość]]&lt;&gt;"Polska","Tak","Nie")</f>
        <v>Tak</v>
      </c>
    </row>
    <row r="24" spans="1:18" x14ac:dyDescent="0.25">
      <c r="A24" t="s">
        <v>208</v>
      </c>
      <c r="B24" t="s">
        <v>376</v>
      </c>
      <c r="C24">
        <v>31</v>
      </c>
      <c r="D24" t="s">
        <v>436</v>
      </c>
      <c r="F24">
        <v>31</v>
      </c>
      <c r="G24">
        <v>17</v>
      </c>
      <c r="H24">
        <v>0</v>
      </c>
      <c r="I24">
        <v>0</v>
      </c>
      <c r="J24">
        <v>0</v>
      </c>
      <c r="K24">
        <v>0</v>
      </c>
      <c r="L24">
        <v>0</v>
      </c>
      <c r="M24">
        <v>10</v>
      </c>
      <c r="N24">
        <v>5</v>
      </c>
      <c r="O24" s="2" t="s">
        <v>2377</v>
      </c>
      <c r="P24" s="4">
        <v>701</v>
      </c>
      <c r="Q24" t="s">
        <v>319</v>
      </c>
      <c r="R24" t="str">
        <f>IF(Table3[[#This Row],[Narodowość]]&lt;&gt;"Polska","Tak","Nie")</f>
        <v>Tak</v>
      </c>
    </row>
    <row r="25" spans="1:18" x14ac:dyDescent="0.25">
      <c r="A25" t="s">
        <v>465</v>
      </c>
      <c r="B25" t="s">
        <v>382</v>
      </c>
      <c r="C25">
        <v>22</v>
      </c>
      <c r="D25" t="s">
        <v>337</v>
      </c>
      <c r="F25">
        <v>13</v>
      </c>
      <c r="G25">
        <v>12</v>
      </c>
      <c r="H25">
        <v>0</v>
      </c>
      <c r="I25">
        <v>2</v>
      </c>
      <c r="J25">
        <v>2</v>
      </c>
      <c r="K25">
        <v>0</v>
      </c>
      <c r="L25">
        <v>0</v>
      </c>
      <c r="M25">
        <v>2</v>
      </c>
      <c r="N25">
        <v>0</v>
      </c>
      <c r="O25" s="2" t="s">
        <v>2402</v>
      </c>
      <c r="P25" s="4">
        <v>952</v>
      </c>
      <c r="Q25" t="s">
        <v>349</v>
      </c>
      <c r="R25" t="str">
        <f>IF(Table3[[#This Row],[Narodowość]]&lt;&gt;"Polska","Tak","Nie")</f>
        <v>Nie</v>
      </c>
    </row>
    <row r="26" spans="1:18" x14ac:dyDescent="0.25">
      <c r="A26" t="s">
        <v>465</v>
      </c>
      <c r="B26" t="s">
        <v>382</v>
      </c>
      <c r="C26">
        <v>22</v>
      </c>
      <c r="D26" t="s">
        <v>337</v>
      </c>
      <c r="F26">
        <v>15</v>
      </c>
      <c r="G26">
        <v>8</v>
      </c>
      <c r="H26">
        <v>0</v>
      </c>
      <c r="I26">
        <v>0</v>
      </c>
      <c r="J26">
        <v>1</v>
      </c>
      <c r="K26">
        <v>0</v>
      </c>
      <c r="L26">
        <v>0</v>
      </c>
      <c r="M26">
        <v>2</v>
      </c>
      <c r="N26">
        <v>0</v>
      </c>
      <c r="O26" s="2" t="s">
        <v>2412</v>
      </c>
      <c r="P26" s="4">
        <v>558</v>
      </c>
      <c r="Q26" t="s">
        <v>340</v>
      </c>
      <c r="R26" t="str">
        <f>IF(Table3[[#This Row],[Narodowość]]&lt;&gt;"Polska","Tak","Nie")</f>
        <v>Nie</v>
      </c>
    </row>
    <row r="27" spans="1:18" x14ac:dyDescent="0.25">
      <c r="A27" t="s">
        <v>508</v>
      </c>
      <c r="B27" t="s">
        <v>325</v>
      </c>
      <c r="C27">
        <v>28</v>
      </c>
      <c r="D27" t="s">
        <v>497</v>
      </c>
      <c r="E27" t="s">
        <v>368</v>
      </c>
      <c r="F27">
        <v>10</v>
      </c>
      <c r="G27">
        <v>7</v>
      </c>
      <c r="H27">
        <v>1</v>
      </c>
      <c r="I27">
        <v>0</v>
      </c>
      <c r="J27">
        <v>1</v>
      </c>
      <c r="K27">
        <v>0</v>
      </c>
      <c r="L27">
        <v>0</v>
      </c>
      <c r="M27">
        <v>4</v>
      </c>
      <c r="N27">
        <v>3</v>
      </c>
      <c r="O27" s="2" t="s">
        <v>2301</v>
      </c>
      <c r="P27" s="4">
        <v>277</v>
      </c>
      <c r="Q27" t="s">
        <v>319</v>
      </c>
      <c r="R27" t="str">
        <f>IF(Table3[[#This Row],[Narodowość]]&lt;&gt;"Polska","Tak","Nie")</f>
        <v>Tak</v>
      </c>
    </row>
    <row r="28" spans="1:18" x14ac:dyDescent="0.25">
      <c r="A28" t="s">
        <v>1792</v>
      </c>
      <c r="B28" t="s">
        <v>382</v>
      </c>
      <c r="C28">
        <v>29</v>
      </c>
      <c r="D28" t="s">
        <v>388</v>
      </c>
      <c r="F28">
        <v>11</v>
      </c>
      <c r="G28">
        <v>9</v>
      </c>
      <c r="H28">
        <v>0</v>
      </c>
      <c r="I28">
        <v>0</v>
      </c>
      <c r="J28">
        <v>3</v>
      </c>
      <c r="K28">
        <v>1</v>
      </c>
      <c r="L28">
        <v>1</v>
      </c>
      <c r="M28">
        <v>0</v>
      </c>
      <c r="N28">
        <v>0</v>
      </c>
      <c r="O28" s="2" t="s">
        <v>2422</v>
      </c>
      <c r="P28" s="4">
        <v>777</v>
      </c>
      <c r="Q28" t="s">
        <v>340</v>
      </c>
      <c r="R28" t="str">
        <f>IF(Table3[[#This Row],[Narodowość]]&lt;&gt;"Polska","Tak","Nie")</f>
        <v>Tak</v>
      </c>
    </row>
    <row r="29" spans="1:18" x14ac:dyDescent="0.25">
      <c r="A29" t="s">
        <v>1809</v>
      </c>
      <c r="B29" t="s">
        <v>331</v>
      </c>
      <c r="C29">
        <v>29</v>
      </c>
      <c r="D29" t="s">
        <v>490</v>
      </c>
      <c r="E29" t="s">
        <v>388</v>
      </c>
      <c r="F29">
        <v>12</v>
      </c>
      <c r="G29">
        <v>11</v>
      </c>
      <c r="H29">
        <v>0</v>
      </c>
      <c r="I29">
        <v>0</v>
      </c>
      <c r="J29">
        <v>2</v>
      </c>
      <c r="K29">
        <v>0</v>
      </c>
      <c r="L29">
        <v>0</v>
      </c>
      <c r="M29">
        <v>1</v>
      </c>
      <c r="N29">
        <v>2</v>
      </c>
      <c r="O29" s="2" t="s">
        <v>2390</v>
      </c>
      <c r="P29" s="4">
        <v>855</v>
      </c>
      <c r="Q29" t="s">
        <v>340</v>
      </c>
      <c r="R29" t="str">
        <f>IF(Table3[[#This Row],[Narodowość]]&lt;&gt;"Polska","Tak","Nie")</f>
        <v>Tak</v>
      </c>
    </row>
    <row r="30" spans="1:18" x14ac:dyDescent="0.25">
      <c r="A30" t="s">
        <v>2262</v>
      </c>
      <c r="B30" t="s">
        <v>326</v>
      </c>
      <c r="C30">
        <v>26</v>
      </c>
      <c r="D30" t="s">
        <v>337</v>
      </c>
      <c r="F30">
        <v>4</v>
      </c>
      <c r="G30">
        <v>2</v>
      </c>
      <c r="H30">
        <v>0</v>
      </c>
      <c r="I30">
        <v>0</v>
      </c>
      <c r="J30">
        <v>0</v>
      </c>
      <c r="K30">
        <v>0</v>
      </c>
      <c r="L30">
        <v>0</v>
      </c>
      <c r="M30">
        <v>2</v>
      </c>
      <c r="N30">
        <v>0</v>
      </c>
      <c r="O30" s="2" t="s">
        <v>2291</v>
      </c>
      <c r="P30" s="4">
        <v>32</v>
      </c>
      <c r="Q30" t="s">
        <v>348</v>
      </c>
      <c r="R30" t="str">
        <f>IF(Table3[[#This Row],[Narodowość]]&lt;&gt;"Polska","Tak","Nie")</f>
        <v>Nie</v>
      </c>
    </row>
    <row r="31" spans="1:18" x14ac:dyDescent="0.25">
      <c r="A31" t="s">
        <v>278</v>
      </c>
      <c r="B31" t="s">
        <v>376</v>
      </c>
      <c r="C31">
        <v>19</v>
      </c>
      <c r="D31" t="s">
        <v>337</v>
      </c>
      <c r="F31">
        <v>7</v>
      </c>
      <c r="G31">
        <v>7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5</v>
      </c>
      <c r="O31" s="2" t="s">
        <v>2377</v>
      </c>
      <c r="P31" s="4">
        <v>561</v>
      </c>
      <c r="Q31" t="s">
        <v>339</v>
      </c>
      <c r="R31" t="str">
        <f>IF(Table3[[#This Row],[Narodowość]]&lt;&gt;"Polska","Tak","Nie")</f>
        <v>Nie</v>
      </c>
    </row>
    <row r="32" spans="1:18" x14ac:dyDescent="0.25">
      <c r="A32" t="s">
        <v>1578</v>
      </c>
      <c r="B32" t="s">
        <v>382</v>
      </c>
      <c r="C32">
        <v>24</v>
      </c>
      <c r="D32" t="s">
        <v>548</v>
      </c>
      <c r="F32">
        <v>4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2</v>
      </c>
      <c r="N32">
        <v>0</v>
      </c>
      <c r="O32" s="2" t="s">
        <v>2279</v>
      </c>
      <c r="P32" s="4">
        <v>244</v>
      </c>
      <c r="Q32" t="s">
        <v>349</v>
      </c>
      <c r="R32" t="str">
        <f>IF(Table3[[#This Row],[Narodowość]]&lt;&gt;"Polska","Tak","Nie")</f>
        <v>Tak</v>
      </c>
    </row>
    <row r="33" spans="1:18" x14ac:dyDescent="0.25">
      <c r="A33" t="s">
        <v>468</v>
      </c>
      <c r="B33" t="s">
        <v>330</v>
      </c>
      <c r="C33">
        <v>26</v>
      </c>
      <c r="D33" t="s">
        <v>333</v>
      </c>
      <c r="F33">
        <v>28</v>
      </c>
      <c r="G33">
        <v>26</v>
      </c>
      <c r="H33">
        <v>0</v>
      </c>
      <c r="I33">
        <v>2</v>
      </c>
      <c r="J33">
        <v>3</v>
      </c>
      <c r="K33">
        <v>0</v>
      </c>
      <c r="L33">
        <v>0</v>
      </c>
      <c r="M33">
        <v>8</v>
      </c>
      <c r="N33">
        <v>12</v>
      </c>
      <c r="O33" s="2" t="s">
        <v>2435</v>
      </c>
      <c r="P33" s="4">
        <v>1530</v>
      </c>
      <c r="Q33" t="s">
        <v>348</v>
      </c>
      <c r="R33" t="str">
        <f>IF(Table3[[#This Row],[Narodowość]]&lt;&gt;"Polska","Tak","Nie")</f>
        <v>Tak</v>
      </c>
    </row>
    <row r="34" spans="1:18" x14ac:dyDescent="0.25">
      <c r="A34" t="s">
        <v>73</v>
      </c>
      <c r="B34" t="s">
        <v>325</v>
      </c>
      <c r="C34">
        <v>24</v>
      </c>
      <c r="D34" t="s">
        <v>384</v>
      </c>
      <c r="E34" t="s">
        <v>337</v>
      </c>
      <c r="F34">
        <v>4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 s="2" t="s">
        <v>2296</v>
      </c>
      <c r="P34" s="4">
        <v>1</v>
      </c>
      <c r="Q34" t="s">
        <v>317</v>
      </c>
      <c r="R34" t="str">
        <f>IF(Table3[[#This Row],[Narodowość]]&lt;&gt;"Polska","Tak","Nie")</f>
        <v>Tak</v>
      </c>
    </row>
    <row r="35" spans="1:18" x14ac:dyDescent="0.25">
      <c r="A35" t="s">
        <v>164</v>
      </c>
      <c r="B35" t="s">
        <v>328</v>
      </c>
      <c r="C35">
        <v>32</v>
      </c>
      <c r="D35" t="s">
        <v>384</v>
      </c>
      <c r="F35">
        <v>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0</v>
      </c>
      <c r="O35" s="2" t="s">
        <v>2301</v>
      </c>
      <c r="P35" s="4">
        <v>16</v>
      </c>
      <c r="Q35" t="s">
        <v>341</v>
      </c>
      <c r="R35" t="str">
        <f>IF(Table3[[#This Row],[Narodowość]]&lt;&gt;"Polska","Tak","Nie")</f>
        <v>Tak</v>
      </c>
    </row>
    <row r="36" spans="1:18" x14ac:dyDescent="0.25">
      <c r="A36" t="s">
        <v>1778</v>
      </c>
      <c r="B36" t="s">
        <v>0</v>
      </c>
      <c r="C36">
        <v>17</v>
      </c>
      <c r="D36" t="s">
        <v>337</v>
      </c>
      <c r="F36">
        <v>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s="2">
        <v>0</v>
      </c>
      <c r="P36" s="4">
        <v>0</v>
      </c>
      <c r="Q36" t="s">
        <v>340</v>
      </c>
      <c r="R36" t="str">
        <f>IF(Table3[[#This Row],[Narodowość]]&lt;&gt;"Polska","Tak","Nie")</f>
        <v>Nie</v>
      </c>
    </row>
    <row r="37" spans="1:18" x14ac:dyDescent="0.25">
      <c r="A37" t="s">
        <v>521</v>
      </c>
      <c r="B37" t="s">
        <v>325</v>
      </c>
      <c r="C37">
        <v>27</v>
      </c>
      <c r="D37" t="s">
        <v>336</v>
      </c>
      <c r="F37">
        <v>12</v>
      </c>
      <c r="G37">
        <v>8</v>
      </c>
      <c r="H37">
        <v>0</v>
      </c>
      <c r="I37">
        <v>1</v>
      </c>
      <c r="J37">
        <v>1</v>
      </c>
      <c r="K37">
        <v>0</v>
      </c>
      <c r="L37">
        <v>0</v>
      </c>
      <c r="M37">
        <v>5</v>
      </c>
      <c r="N37">
        <v>3</v>
      </c>
      <c r="O37" s="2" t="s">
        <v>2342</v>
      </c>
      <c r="P37" s="4">
        <v>281</v>
      </c>
      <c r="Q37" t="s">
        <v>332</v>
      </c>
      <c r="R37" t="str">
        <f>IF(Table3[[#This Row],[Narodowość]]&lt;&gt;"Polska","Tak","Nie")</f>
        <v>Tak</v>
      </c>
    </row>
    <row r="38" spans="1:18" x14ac:dyDescent="0.25">
      <c r="A38" t="s">
        <v>143</v>
      </c>
      <c r="B38" t="s">
        <v>357</v>
      </c>
      <c r="C38">
        <v>23</v>
      </c>
      <c r="D38" t="s">
        <v>394</v>
      </c>
      <c r="F38">
        <v>27</v>
      </c>
      <c r="G38">
        <v>19</v>
      </c>
      <c r="H38">
        <v>0</v>
      </c>
      <c r="I38">
        <v>2</v>
      </c>
      <c r="J38">
        <v>1</v>
      </c>
      <c r="K38">
        <v>0</v>
      </c>
      <c r="L38">
        <v>0</v>
      </c>
      <c r="M38">
        <v>4</v>
      </c>
      <c r="N38">
        <v>6</v>
      </c>
      <c r="O38" s="2" t="s">
        <v>2366</v>
      </c>
      <c r="P38" s="4">
        <v>1383</v>
      </c>
      <c r="Q38" t="s">
        <v>344</v>
      </c>
      <c r="R38" t="str">
        <f>IF(Table3[[#This Row],[Narodowość]]&lt;&gt;"Polska","Tak","Nie")</f>
        <v>Tak</v>
      </c>
    </row>
    <row r="39" spans="1:18" x14ac:dyDescent="0.25">
      <c r="A39" t="s">
        <v>665</v>
      </c>
      <c r="B39" t="s">
        <v>330</v>
      </c>
      <c r="C39">
        <v>31</v>
      </c>
      <c r="D39" t="s">
        <v>336</v>
      </c>
      <c r="F39">
        <v>16</v>
      </c>
      <c r="G39">
        <v>11</v>
      </c>
      <c r="H39">
        <v>0</v>
      </c>
      <c r="I39">
        <v>0</v>
      </c>
      <c r="J39">
        <v>2</v>
      </c>
      <c r="K39">
        <v>0</v>
      </c>
      <c r="L39">
        <v>0</v>
      </c>
      <c r="M39">
        <v>4</v>
      </c>
      <c r="N39">
        <v>5</v>
      </c>
      <c r="O39" s="2" t="s">
        <v>2299</v>
      </c>
      <c r="P39" s="4">
        <v>610</v>
      </c>
      <c r="Q39" t="s">
        <v>318</v>
      </c>
      <c r="R39" t="str">
        <f>IF(Table3[[#This Row],[Narodowość]]&lt;&gt;"Polska","Tak","Nie")</f>
        <v>Tak</v>
      </c>
    </row>
    <row r="40" spans="1:18" x14ac:dyDescent="0.25">
      <c r="A40" t="s">
        <v>524</v>
      </c>
      <c r="B40" t="s">
        <v>331</v>
      </c>
      <c r="C40">
        <v>25</v>
      </c>
      <c r="D40" t="s">
        <v>430</v>
      </c>
      <c r="F40">
        <v>8</v>
      </c>
      <c r="G40">
        <v>8</v>
      </c>
      <c r="H40">
        <v>0</v>
      </c>
      <c r="I40">
        <v>1</v>
      </c>
      <c r="J40">
        <v>1</v>
      </c>
      <c r="K40">
        <v>0</v>
      </c>
      <c r="L40">
        <v>0</v>
      </c>
      <c r="M40">
        <v>0</v>
      </c>
      <c r="N40">
        <v>1</v>
      </c>
      <c r="O40" s="2" t="s">
        <v>2412</v>
      </c>
      <c r="P40" s="4">
        <v>714</v>
      </c>
      <c r="Q40" t="s">
        <v>316</v>
      </c>
      <c r="R40" t="str">
        <f>IF(Table3[[#This Row],[Narodowość]]&lt;&gt;"Polska","Tak","Nie")</f>
        <v>Tak</v>
      </c>
    </row>
    <row r="41" spans="1:18" x14ac:dyDescent="0.25">
      <c r="A41" t="s">
        <v>189</v>
      </c>
      <c r="B41" t="s">
        <v>382</v>
      </c>
      <c r="C41">
        <v>32</v>
      </c>
      <c r="D41" t="s">
        <v>337</v>
      </c>
      <c r="F41">
        <v>21</v>
      </c>
      <c r="G41">
        <v>20</v>
      </c>
      <c r="H41">
        <v>2</v>
      </c>
      <c r="I41">
        <v>1</v>
      </c>
      <c r="J41">
        <v>5</v>
      </c>
      <c r="K41">
        <v>0</v>
      </c>
      <c r="L41">
        <v>0</v>
      </c>
      <c r="M41">
        <v>0</v>
      </c>
      <c r="N41">
        <v>1</v>
      </c>
      <c r="O41" s="2" t="s">
        <v>2320</v>
      </c>
      <c r="P41" s="4">
        <v>1770</v>
      </c>
      <c r="Q41" t="s">
        <v>332</v>
      </c>
      <c r="R41" t="str">
        <f>IF(Table3[[#This Row],[Narodowość]]&lt;&gt;"Polska","Tak","Nie")</f>
        <v>Nie</v>
      </c>
    </row>
    <row r="42" spans="1:18" x14ac:dyDescent="0.25">
      <c r="A42" t="s">
        <v>89</v>
      </c>
      <c r="B42" t="s">
        <v>324</v>
      </c>
      <c r="C42">
        <v>23</v>
      </c>
      <c r="D42" t="s">
        <v>337</v>
      </c>
      <c r="F42">
        <v>30</v>
      </c>
      <c r="G42">
        <v>24</v>
      </c>
      <c r="H42">
        <v>1</v>
      </c>
      <c r="I42">
        <v>0</v>
      </c>
      <c r="J42">
        <v>2</v>
      </c>
      <c r="K42">
        <v>0</v>
      </c>
      <c r="L42">
        <v>0</v>
      </c>
      <c r="M42">
        <v>19</v>
      </c>
      <c r="N42">
        <v>5</v>
      </c>
      <c r="O42" s="2" t="s">
        <v>2289</v>
      </c>
      <c r="P42" s="4">
        <v>660</v>
      </c>
      <c r="Q42" t="s">
        <v>361</v>
      </c>
      <c r="R42" t="str">
        <f>IF(Table3[[#This Row],[Narodowość]]&lt;&gt;"Polska","Tak","Nie")</f>
        <v>Nie</v>
      </c>
    </row>
    <row r="43" spans="1:18" x14ac:dyDescent="0.25">
      <c r="A43" t="s">
        <v>429</v>
      </c>
      <c r="B43" t="s">
        <v>382</v>
      </c>
      <c r="C43">
        <v>22</v>
      </c>
      <c r="D43" t="s">
        <v>426</v>
      </c>
      <c r="E43" t="s">
        <v>430</v>
      </c>
      <c r="F43">
        <v>22</v>
      </c>
      <c r="G43">
        <v>16</v>
      </c>
      <c r="H43">
        <v>2</v>
      </c>
      <c r="I43">
        <v>1</v>
      </c>
      <c r="J43">
        <v>8</v>
      </c>
      <c r="K43">
        <v>0</v>
      </c>
      <c r="L43">
        <v>0</v>
      </c>
      <c r="M43">
        <v>2</v>
      </c>
      <c r="N43">
        <v>1</v>
      </c>
      <c r="O43" s="2" t="s">
        <v>2378</v>
      </c>
      <c r="P43" s="4">
        <v>1344</v>
      </c>
      <c r="Q43" t="s">
        <v>339</v>
      </c>
      <c r="R43" t="str">
        <f>IF(Table3[[#This Row],[Narodowość]]&lt;&gt;"Polska","Tak","Nie")</f>
        <v>Tak</v>
      </c>
    </row>
    <row r="44" spans="1:18" x14ac:dyDescent="0.25">
      <c r="A44" t="s">
        <v>785</v>
      </c>
      <c r="B44" t="s">
        <v>331</v>
      </c>
      <c r="C44">
        <v>16</v>
      </c>
      <c r="D44" t="s">
        <v>337</v>
      </c>
      <c r="F44">
        <v>2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 s="2" t="s">
        <v>2296</v>
      </c>
      <c r="P44" s="4">
        <v>17</v>
      </c>
      <c r="Q44" t="s">
        <v>334</v>
      </c>
      <c r="R44" t="str">
        <f>IF(Table3[[#This Row],[Narodowość]]&lt;&gt;"Polska","Tak","Nie")</f>
        <v>Nie</v>
      </c>
    </row>
    <row r="45" spans="1:18" x14ac:dyDescent="0.25">
      <c r="A45" t="s">
        <v>1058</v>
      </c>
      <c r="B45" t="s">
        <v>0</v>
      </c>
      <c r="C45">
        <v>16</v>
      </c>
      <c r="D45" t="s">
        <v>337</v>
      </c>
      <c r="F45">
        <v>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2">
        <v>0</v>
      </c>
      <c r="P45" s="4">
        <v>0</v>
      </c>
      <c r="Q45" t="s">
        <v>338</v>
      </c>
      <c r="R45" t="str">
        <f>IF(Table3[[#This Row],[Narodowość]]&lt;&gt;"Polska","Tak","Nie")</f>
        <v>Nie</v>
      </c>
    </row>
    <row r="46" spans="1:18" x14ac:dyDescent="0.25">
      <c r="A46" t="s">
        <v>381</v>
      </c>
      <c r="B46" t="s">
        <v>382</v>
      </c>
      <c r="C46">
        <v>27</v>
      </c>
      <c r="D46" t="s">
        <v>364</v>
      </c>
      <c r="F46">
        <v>29</v>
      </c>
      <c r="G46">
        <v>26</v>
      </c>
      <c r="H46">
        <v>4</v>
      </c>
      <c r="I46">
        <v>2</v>
      </c>
      <c r="J46">
        <v>3</v>
      </c>
      <c r="K46">
        <v>0</v>
      </c>
      <c r="L46">
        <v>0</v>
      </c>
      <c r="M46">
        <v>1</v>
      </c>
      <c r="N46">
        <v>2</v>
      </c>
      <c r="O46" s="2" t="s">
        <v>2318</v>
      </c>
      <c r="P46" s="4">
        <v>2231</v>
      </c>
      <c r="Q46" t="s">
        <v>334</v>
      </c>
      <c r="R46" t="str">
        <f>IF(Table3[[#This Row],[Narodowość]]&lt;&gt;"Polska","Tak","Nie")</f>
        <v>Tak</v>
      </c>
    </row>
    <row r="47" spans="1:18" x14ac:dyDescent="0.25">
      <c r="A47" t="s">
        <v>500</v>
      </c>
      <c r="B47" t="s">
        <v>382</v>
      </c>
      <c r="C47">
        <v>18</v>
      </c>
      <c r="D47" t="s">
        <v>337</v>
      </c>
      <c r="F47">
        <v>31</v>
      </c>
      <c r="G47">
        <v>29</v>
      </c>
      <c r="H47">
        <v>1</v>
      </c>
      <c r="I47">
        <v>0</v>
      </c>
      <c r="J47">
        <v>2</v>
      </c>
      <c r="K47">
        <v>0</v>
      </c>
      <c r="L47">
        <v>0</v>
      </c>
      <c r="M47">
        <v>5</v>
      </c>
      <c r="N47">
        <v>3</v>
      </c>
      <c r="O47" s="2" t="s">
        <v>2365</v>
      </c>
      <c r="P47" s="4">
        <v>2161</v>
      </c>
      <c r="Q47" t="s">
        <v>344</v>
      </c>
      <c r="R47" t="str">
        <f>IF(Table3[[#This Row],[Narodowość]]&lt;&gt;"Polska","Tak","Nie")</f>
        <v>Nie</v>
      </c>
    </row>
    <row r="48" spans="1:18" x14ac:dyDescent="0.25">
      <c r="A48" t="s">
        <v>209</v>
      </c>
      <c r="B48" t="s">
        <v>382</v>
      </c>
      <c r="C48">
        <v>26</v>
      </c>
      <c r="D48" t="s">
        <v>337</v>
      </c>
      <c r="F48">
        <v>13</v>
      </c>
      <c r="G48">
        <v>13</v>
      </c>
      <c r="H48">
        <v>1</v>
      </c>
      <c r="I48">
        <v>0</v>
      </c>
      <c r="J48">
        <v>7</v>
      </c>
      <c r="K48">
        <v>1</v>
      </c>
      <c r="L48">
        <v>0</v>
      </c>
      <c r="M48">
        <v>0</v>
      </c>
      <c r="N48">
        <v>6</v>
      </c>
      <c r="O48" s="2" t="s">
        <v>2426</v>
      </c>
      <c r="P48" s="4">
        <v>1059</v>
      </c>
      <c r="Q48" t="s">
        <v>319</v>
      </c>
      <c r="R48" t="str">
        <f>IF(Table3[[#This Row],[Narodowość]]&lt;&gt;"Polska","Tak","Nie")</f>
        <v>Nie</v>
      </c>
    </row>
    <row r="49" spans="1:18" x14ac:dyDescent="0.25">
      <c r="A49" t="s">
        <v>150</v>
      </c>
      <c r="B49" t="s">
        <v>376</v>
      </c>
      <c r="C49">
        <v>18</v>
      </c>
      <c r="D49" t="s">
        <v>337</v>
      </c>
      <c r="F49">
        <v>33</v>
      </c>
      <c r="G49">
        <v>30</v>
      </c>
      <c r="H49">
        <v>2</v>
      </c>
      <c r="I49">
        <v>3</v>
      </c>
      <c r="J49">
        <v>2</v>
      </c>
      <c r="K49">
        <v>0</v>
      </c>
      <c r="L49">
        <v>0</v>
      </c>
      <c r="M49">
        <v>16</v>
      </c>
      <c r="N49">
        <v>12</v>
      </c>
      <c r="O49" s="2" t="s">
        <v>2283</v>
      </c>
      <c r="P49" s="4">
        <v>1487</v>
      </c>
      <c r="Q49" t="s">
        <v>344</v>
      </c>
      <c r="R49" t="str">
        <f>IF(Table3[[#This Row],[Narodowość]]&lt;&gt;"Polska","Tak","Nie")</f>
        <v>Nie</v>
      </c>
    </row>
    <row r="50" spans="1:18" x14ac:dyDescent="0.25">
      <c r="A50" t="s">
        <v>170</v>
      </c>
      <c r="B50" t="s">
        <v>325</v>
      </c>
      <c r="C50">
        <v>22</v>
      </c>
      <c r="D50" t="s">
        <v>337</v>
      </c>
      <c r="F50">
        <v>3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0</v>
      </c>
      <c r="O50" s="2" t="s">
        <v>2301</v>
      </c>
      <c r="P50" s="4">
        <v>8</v>
      </c>
      <c r="Q50" t="s">
        <v>341</v>
      </c>
      <c r="R50" t="str">
        <f>IF(Table3[[#This Row],[Narodowość]]&lt;&gt;"Polska","Tak","Nie")</f>
        <v>Nie</v>
      </c>
    </row>
    <row r="51" spans="1:18" x14ac:dyDescent="0.25">
      <c r="A51" t="s">
        <v>1437</v>
      </c>
      <c r="B51" t="s">
        <v>324</v>
      </c>
      <c r="C51">
        <v>20</v>
      </c>
      <c r="D51" t="s">
        <v>430</v>
      </c>
      <c r="F51">
        <v>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2">
        <v>0</v>
      </c>
      <c r="P51" s="4">
        <v>0</v>
      </c>
      <c r="Q51" t="s">
        <v>317</v>
      </c>
      <c r="R51" t="str">
        <f>IF(Table3[[#This Row],[Narodowość]]&lt;&gt;"Polska","Tak","Nie")</f>
        <v>Tak</v>
      </c>
    </row>
    <row r="52" spans="1:18" x14ac:dyDescent="0.25">
      <c r="A52" t="s">
        <v>2103</v>
      </c>
      <c r="B52" t="s">
        <v>326</v>
      </c>
      <c r="C52">
        <v>28</v>
      </c>
      <c r="D52" t="s">
        <v>430</v>
      </c>
      <c r="F52">
        <v>4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1</v>
      </c>
      <c r="N52">
        <v>3</v>
      </c>
      <c r="O52" s="2" t="s">
        <v>2368</v>
      </c>
      <c r="P52" s="4">
        <v>155</v>
      </c>
      <c r="Q52" t="s">
        <v>316</v>
      </c>
      <c r="R52" t="str">
        <f>IF(Table3[[#This Row],[Narodowość]]&lt;&gt;"Polska","Tak","Nie")</f>
        <v>Tak</v>
      </c>
    </row>
    <row r="53" spans="1:18" x14ac:dyDescent="0.25">
      <c r="A53" t="s">
        <v>454</v>
      </c>
      <c r="B53" t="s">
        <v>382</v>
      </c>
      <c r="C53">
        <v>32</v>
      </c>
      <c r="D53" t="s">
        <v>430</v>
      </c>
      <c r="E53" t="s">
        <v>337</v>
      </c>
      <c r="F53">
        <v>20</v>
      </c>
      <c r="G53">
        <v>18</v>
      </c>
      <c r="H53">
        <v>1</v>
      </c>
      <c r="I53">
        <v>1</v>
      </c>
      <c r="J53">
        <v>8</v>
      </c>
      <c r="K53">
        <v>0</v>
      </c>
      <c r="L53">
        <v>0</v>
      </c>
      <c r="M53">
        <v>2</v>
      </c>
      <c r="N53">
        <v>2</v>
      </c>
      <c r="O53" s="2" t="s">
        <v>2336</v>
      </c>
      <c r="P53" s="4">
        <v>1445</v>
      </c>
      <c r="Q53" t="s">
        <v>316</v>
      </c>
      <c r="R53" t="str">
        <f>IF(Table3[[#This Row],[Narodowość]]&lt;&gt;"Polska","Tak","Nie")</f>
        <v>Tak</v>
      </c>
    </row>
    <row r="54" spans="1:18" x14ac:dyDescent="0.25">
      <c r="A54" t="s">
        <v>174</v>
      </c>
      <c r="B54" t="s">
        <v>357</v>
      </c>
      <c r="C54">
        <v>28</v>
      </c>
      <c r="D54" t="s">
        <v>337</v>
      </c>
      <c r="F54">
        <v>15</v>
      </c>
      <c r="G54">
        <v>5</v>
      </c>
      <c r="H54">
        <v>1</v>
      </c>
      <c r="I54">
        <v>0</v>
      </c>
      <c r="J54">
        <v>1</v>
      </c>
      <c r="K54">
        <v>0</v>
      </c>
      <c r="L54">
        <v>0</v>
      </c>
      <c r="M54">
        <v>5</v>
      </c>
      <c r="N54">
        <v>0</v>
      </c>
      <c r="O54" s="2" t="s">
        <v>2296</v>
      </c>
      <c r="P54" s="4">
        <v>54</v>
      </c>
      <c r="Q54" t="s">
        <v>315</v>
      </c>
      <c r="R54" t="str">
        <f>IF(Table3[[#This Row],[Narodowość]]&lt;&gt;"Polska","Tak","Nie")</f>
        <v>Nie</v>
      </c>
    </row>
    <row r="55" spans="1:18" x14ac:dyDescent="0.25">
      <c r="A55" t="s">
        <v>123</v>
      </c>
      <c r="B55" t="s">
        <v>0</v>
      </c>
      <c r="C55">
        <v>41</v>
      </c>
      <c r="D55" t="s">
        <v>337</v>
      </c>
      <c r="F55">
        <v>11</v>
      </c>
      <c r="G55">
        <v>11</v>
      </c>
      <c r="H55">
        <v>0</v>
      </c>
      <c r="I55">
        <v>0</v>
      </c>
      <c r="J55">
        <v>1</v>
      </c>
      <c r="K55">
        <v>0</v>
      </c>
      <c r="L55">
        <v>1</v>
      </c>
      <c r="M55">
        <v>0</v>
      </c>
      <c r="N55">
        <v>0</v>
      </c>
      <c r="O55" s="2" t="s">
        <v>2282</v>
      </c>
      <c r="P55" s="4">
        <v>972</v>
      </c>
      <c r="Q55" t="s">
        <v>318</v>
      </c>
      <c r="R55" t="str">
        <f>IF(Table3[[#This Row],[Narodowość]]&lt;&gt;"Polska","Tak","Nie")</f>
        <v>Nie</v>
      </c>
    </row>
    <row r="56" spans="1:18" x14ac:dyDescent="0.25">
      <c r="A56" t="s">
        <v>625</v>
      </c>
      <c r="B56" t="s">
        <v>382</v>
      </c>
      <c r="C56">
        <v>33</v>
      </c>
      <c r="D56" t="s">
        <v>337</v>
      </c>
      <c r="F56">
        <v>21</v>
      </c>
      <c r="G56">
        <v>19</v>
      </c>
      <c r="H56">
        <v>0</v>
      </c>
      <c r="I56">
        <v>0</v>
      </c>
      <c r="J56">
        <v>9</v>
      </c>
      <c r="K56">
        <v>0</v>
      </c>
      <c r="L56">
        <v>0</v>
      </c>
      <c r="M56">
        <v>3</v>
      </c>
      <c r="N56">
        <v>1</v>
      </c>
      <c r="O56" s="2" t="s">
        <v>2289</v>
      </c>
      <c r="P56" s="4">
        <v>1422</v>
      </c>
      <c r="Q56" t="s">
        <v>318</v>
      </c>
      <c r="R56" t="str">
        <f>IF(Table3[[#This Row],[Narodowość]]&lt;&gt;"Polska","Tak","Nie")</f>
        <v>Nie</v>
      </c>
    </row>
    <row r="57" spans="1:18" x14ac:dyDescent="0.25">
      <c r="A57" t="s">
        <v>106</v>
      </c>
      <c r="B57" t="s">
        <v>325</v>
      </c>
      <c r="C57">
        <v>31</v>
      </c>
      <c r="D57" t="s">
        <v>337</v>
      </c>
      <c r="F57">
        <v>19</v>
      </c>
      <c r="G57">
        <v>12</v>
      </c>
      <c r="H57">
        <v>0</v>
      </c>
      <c r="I57">
        <v>0</v>
      </c>
      <c r="J57">
        <v>0</v>
      </c>
      <c r="K57">
        <v>0</v>
      </c>
      <c r="L57">
        <v>0</v>
      </c>
      <c r="M57">
        <v>12</v>
      </c>
      <c r="N57">
        <v>0</v>
      </c>
      <c r="O57" s="2" t="s">
        <v>2314</v>
      </c>
      <c r="P57" s="4">
        <v>105</v>
      </c>
      <c r="Q57" t="s">
        <v>334</v>
      </c>
      <c r="R57" t="str">
        <f>IF(Table3[[#This Row],[Narodowość]]&lt;&gt;"Polska","Tak","Nie")</f>
        <v>Nie</v>
      </c>
    </row>
    <row r="58" spans="1:18" x14ac:dyDescent="0.25">
      <c r="A58" t="s">
        <v>488</v>
      </c>
      <c r="B58" t="s">
        <v>331</v>
      </c>
      <c r="C58">
        <v>25</v>
      </c>
      <c r="D58" t="s">
        <v>365</v>
      </c>
      <c r="E58" t="s">
        <v>489</v>
      </c>
      <c r="F58">
        <v>17</v>
      </c>
      <c r="G58">
        <v>16</v>
      </c>
      <c r="H58">
        <v>1</v>
      </c>
      <c r="I58">
        <v>0</v>
      </c>
      <c r="J58">
        <v>6</v>
      </c>
      <c r="K58">
        <v>0</v>
      </c>
      <c r="L58">
        <v>0</v>
      </c>
      <c r="M58">
        <v>0</v>
      </c>
      <c r="N58">
        <v>2</v>
      </c>
      <c r="O58" s="2" t="s">
        <v>2412</v>
      </c>
      <c r="P58" s="4">
        <v>1437</v>
      </c>
      <c r="Q58" t="s">
        <v>383</v>
      </c>
      <c r="R58" t="str">
        <f>IF(Table3[[#This Row],[Narodowość]]&lt;&gt;"Polska","Tak","Nie")</f>
        <v>Tak</v>
      </c>
    </row>
    <row r="59" spans="1:18" x14ac:dyDescent="0.25">
      <c r="A59" t="s">
        <v>93</v>
      </c>
      <c r="B59" t="s">
        <v>357</v>
      </c>
      <c r="C59">
        <v>31</v>
      </c>
      <c r="D59" t="s">
        <v>438</v>
      </c>
      <c r="F59">
        <v>28</v>
      </c>
      <c r="G59">
        <v>15</v>
      </c>
      <c r="H59">
        <v>1</v>
      </c>
      <c r="I59">
        <v>2</v>
      </c>
      <c r="J59">
        <v>5</v>
      </c>
      <c r="K59">
        <v>0</v>
      </c>
      <c r="L59">
        <v>0</v>
      </c>
      <c r="M59">
        <v>2</v>
      </c>
      <c r="N59">
        <v>2</v>
      </c>
      <c r="O59" s="2" t="s">
        <v>2323</v>
      </c>
      <c r="P59" s="4">
        <v>1194</v>
      </c>
      <c r="Q59" t="s">
        <v>334</v>
      </c>
      <c r="R59" t="str">
        <f>IF(Table3[[#This Row],[Narodowość]]&lt;&gt;"Polska","Tak","Nie")</f>
        <v>Tak</v>
      </c>
    </row>
    <row r="60" spans="1:18" x14ac:dyDescent="0.25">
      <c r="A60" t="s">
        <v>1587</v>
      </c>
      <c r="B60" t="s">
        <v>352</v>
      </c>
      <c r="C60">
        <v>20</v>
      </c>
      <c r="D60" t="s">
        <v>337</v>
      </c>
      <c r="F60">
        <v>18</v>
      </c>
      <c r="G60">
        <v>2</v>
      </c>
      <c r="H60">
        <v>0</v>
      </c>
      <c r="I60">
        <v>0</v>
      </c>
      <c r="J60">
        <v>0</v>
      </c>
      <c r="K60">
        <v>0</v>
      </c>
      <c r="L60">
        <v>0</v>
      </c>
      <c r="M60">
        <v>2</v>
      </c>
      <c r="N60">
        <v>0</v>
      </c>
      <c r="O60" s="2" t="s">
        <v>2314</v>
      </c>
      <c r="P60" s="4">
        <v>11</v>
      </c>
      <c r="Q60" t="s">
        <v>349</v>
      </c>
      <c r="R60" t="str">
        <f>IF(Table3[[#This Row],[Narodowość]]&lt;&gt;"Polska","Tak","Nie")</f>
        <v>Nie</v>
      </c>
    </row>
    <row r="61" spans="1:18" x14ac:dyDescent="0.25">
      <c r="A61" t="s">
        <v>691</v>
      </c>
      <c r="B61" t="s">
        <v>324</v>
      </c>
      <c r="C61">
        <v>20</v>
      </c>
      <c r="D61" t="s">
        <v>337</v>
      </c>
      <c r="F61">
        <v>11</v>
      </c>
      <c r="G61">
        <v>7</v>
      </c>
      <c r="H61">
        <v>0</v>
      </c>
      <c r="I61">
        <v>0</v>
      </c>
      <c r="J61">
        <v>2</v>
      </c>
      <c r="K61">
        <v>0</v>
      </c>
      <c r="L61">
        <v>0</v>
      </c>
      <c r="M61">
        <v>6</v>
      </c>
      <c r="N61">
        <v>2</v>
      </c>
      <c r="O61" s="2" t="s">
        <v>2301</v>
      </c>
      <c r="P61" s="4">
        <v>167</v>
      </c>
      <c r="Q61" t="s">
        <v>318</v>
      </c>
      <c r="R61" t="str">
        <f>IF(Table3[[#This Row],[Narodowość]]&lt;&gt;"Polska","Tak","Nie")</f>
        <v>Nie</v>
      </c>
    </row>
    <row r="62" spans="1:18" x14ac:dyDescent="0.25">
      <c r="A62" t="s">
        <v>1223</v>
      </c>
      <c r="B62" t="s">
        <v>0</v>
      </c>
      <c r="C62">
        <v>21</v>
      </c>
      <c r="D62" t="s">
        <v>337</v>
      </c>
      <c r="F62">
        <v>12</v>
      </c>
      <c r="G62">
        <v>3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2" t="s">
        <v>2301</v>
      </c>
      <c r="P62" s="4">
        <v>270</v>
      </c>
      <c r="Q62" t="s">
        <v>339</v>
      </c>
      <c r="R62" t="str">
        <f>IF(Table3[[#This Row],[Narodowość]]&lt;&gt;"Polska","Tak","Nie")</f>
        <v>Nie</v>
      </c>
    </row>
    <row r="63" spans="1:18" x14ac:dyDescent="0.25">
      <c r="A63" t="s">
        <v>2242</v>
      </c>
      <c r="B63" t="s">
        <v>331</v>
      </c>
      <c r="C63">
        <v>26</v>
      </c>
      <c r="D63" t="s">
        <v>337</v>
      </c>
      <c r="F63">
        <v>22</v>
      </c>
      <c r="G63">
        <v>16</v>
      </c>
      <c r="H63">
        <v>0</v>
      </c>
      <c r="I63">
        <v>0</v>
      </c>
      <c r="J63">
        <v>3</v>
      </c>
      <c r="K63">
        <v>0</v>
      </c>
      <c r="L63">
        <v>0</v>
      </c>
      <c r="M63">
        <v>10</v>
      </c>
      <c r="N63">
        <v>5</v>
      </c>
      <c r="O63" s="2" t="s">
        <v>2371</v>
      </c>
      <c r="P63" s="4">
        <v>584</v>
      </c>
      <c r="Q63" t="s">
        <v>348</v>
      </c>
      <c r="R63" t="str">
        <f>IF(Table3[[#This Row],[Narodowość]]&lt;&gt;"Polska","Tak","Nie")</f>
        <v>Nie</v>
      </c>
    </row>
    <row r="64" spans="1:18" x14ac:dyDescent="0.25">
      <c r="A64" t="s">
        <v>1805</v>
      </c>
      <c r="B64" t="s">
        <v>376</v>
      </c>
      <c r="C64">
        <v>19</v>
      </c>
      <c r="D64" t="s">
        <v>337</v>
      </c>
      <c r="F64">
        <v>23</v>
      </c>
      <c r="G64">
        <v>7</v>
      </c>
      <c r="H64">
        <v>0</v>
      </c>
      <c r="I64">
        <v>0</v>
      </c>
      <c r="J64">
        <v>0</v>
      </c>
      <c r="K64">
        <v>0</v>
      </c>
      <c r="L64">
        <v>0</v>
      </c>
      <c r="M64">
        <v>5</v>
      </c>
      <c r="N64">
        <v>1</v>
      </c>
      <c r="O64" s="2" t="s">
        <v>2420</v>
      </c>
      <c r="P64" s="4">
        <v>193</v>
      </c>
      <c r="Q64" t="s">
        <v>340</v>
      </c>
      <c r="R64" t="str">
        <f>IF(Table3[[#This Row],[Narodowość]]&lt;&gt;"Polska","Tak","Nie")</f>
        <v>Nie</v>
      </c>
    </row>
    <row r="65" spans="1:18" x14ac:dyDescent="0.25">
      <c r="A65" t="s">
        <v>1441</v>
      </c>
      <c r="B65" t="s">
        <v>326</v>
      </c>
      <c r="C65">
        <v>19</v>
      </c>
      <c r="D65" t="s">
        <v>337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2">
        <v>0</v>
      </c>
      <c r="P65" s="4">
        <v>0</v>
      </c>
      <c r="Q65" t="s">
        <v>317</v>
      </c>
      <c r="R65" t="str">
        <f>IF(Table3[[#This Row],[Narodowość]]&lt;&gt;"Polska","Tak","Nie")</f>
        <v>Nie</v>
      </c>
    </row>
    <row r="66" spans="1:18" x14ac:dyDescent="0.25">
      <c r="A66" t="s">
        <v>467</v>
      </c>
      <c r="B66" t="s">
        <v>376</v>
      </c>
      <c r="C66">
        <v>20</v>
      </c>
      <c r="D66" t="s">
        <v>337</v>
      </c>
      <c r="F66">
        <v>27</v>
      </c>
      <c r="G66">
        <v>14</v>
      </c>
      <c r="H66">
        <v>0</v>
      </c>
      <c r="I66">
        <v>2</v>
      </c>
      <c r="J66">
        <v>3</v>
      </c>
      <c r="K66">
        <v>0</v>
      </c>
      <c r="L66">
        <v>0</v>
      </c>
      <c r="M66">
        <v>5</v>
      </c>
      <c r="N66">
        <v>6</v>
      </c>
      <c r="O66" s="2" t="s">
        <v>2414</v>
      </c>
      <c r="P66" s="4">
        <v>833</v>
      </c>
      <c r="Q66" t="s">
        <v>316</v>
      </c>
      <c r="R66" t="str">
        <f>IF(Table3[[#This Row],[Narodowość]]&lt;&gt;"Polska","Tak","Nie")</f>
        <v>Nie</v>
      </c>
    </row>
    <row r="67" spans="1:18" x14ac:dyDescent="0.25">
      <c r="A67" t="s">
        <v>995</v>
      </c>
      <c r="B67" t="s">
        <v>382</v>
      </c>
      <c r="C67">
        <v>19</v>
      </c>
      <c r="D67" t="s">
        <v>337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2">
        <v>0</v>
      </c>
      <c r="P67" s="4">
        <v>0</v>
      </c>
      <c r="Q67" t="s">
        <v>341</v>
      </c>
      <c r="R67" t="str">
        <f>IF(Table3[[#This Row],[Narodowość]]&lt;&gt;"Polska","Tak","Nie")</f>
        <v>Nie</v>
      </c>
    </row>
    <row r="68" spans="1:18" x14ac:dyDescent="0.25">
      <c r="A68" t="s">
        <v>464</v>
      </c>
      <c r="B68" t="s">
        <v>324</v>
      </c>
      <c r="C68">
        <v>28</v>
      </c>
      <c r="D68" t="s">
        <v>337</v>
      </c>
      <c r="F68">
        <v>15</v>
      </c>
      <c r="G68">
        <v>12</v>
      </c>
      <c r="H68">
        <v>0</v>
      </c>
      <c r="I68">
        <v>2</v>
      </c>
      <c r="J68">
        <v>1</v>
      </c>
      <c r="K68">
        <v>0</v>
      </c>
      <c r="L68">
        <v>0</v>
      </c>
      <c r="M68">
        <v>2</v>
      </c>
      <c r="N68">
        <v>5</v>
      </c>
      <c r="O68" s="2" t="s">
        <v>2354</v>
      </c>
      <c r="P68" s="4">
        <v>824</v>
      </c>
      <c r="Q68" t="s">
        <v>345</v>
      </c>
      <c r="R68" t="str">
        <f>IF(Table3[[#This Row],[Narodowość]]&lt;&gt;"Polska","Tak","Nie")</f>
        <v>Nie</v>
      </c>
    </row>
    <row r="69" spans="1:18" x14ac:dyDescent="0.25">
      <c r="A69" t="s">
        <v>523</v>
      </c>
      <c r="B69" t="s">
        <v>357</v>
      </c>
      <c r="C69">
        <v>20</v>
      </c>
      <c r="D69" t="s">
        <v>337</v>
      </c>
      <c r="F69">
        <v>24</v>
      </c>
      <c r="G69">
        <v>23</v>
      </c>
      <c r="H69">
        <v>0</v>
      </c>
      <c r="I69">
        <v>1</v>
      </c>
      <c r="J69">
        <v>1</v>
      </c>
      <c r="K69">
        <v>0</v>
      </c>
      <c r="L69">
        <v>0</v>
      </c>
      <c r="M69">
        <v>12</v>
      </c>
      <c r="N69">
        <v>7</v>
      </c>
      <c r="O69" s="2" t="s">
        <v>2386</v>
      </c>
      <c r="P69" s="4">
        <v>1096</v>
      </c>
      <c r="Q69" t="s">
        <v>361</v>
      </c>
      <c r="R69" t="str">
        <f>IF(Table3[[#This Row],[Narodowość]]&lt;&gt;"Polska","Tak","Nie")</f>
        <v>Nie</v>
      </c>
    </row>
    <row r="70" spans="1:18" x14ac:dyDescent="0.25">
      <c r="A70" t="s">
        <v>1719</v>
      </c>
      <c r="B70" t="s">
        <v>330</v>
      </c>
      <c r="C70">
        <v>19</v>
      </c>
      <c r="D70" t="s">
        <v>337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2">
        <v>0</v>
      </c>
      <c r="P70" s="4">
        <v>0</v>
      </c>
      <c r="Q70" t="s">
        <v>361</v>
      </c>
      <c r="R70" t="str">
        <f>IF(Table3[[#This Row],[Narodowość]]&lt;&gt;"Polska","Tak","Nie")</f>
        <v>Nie</v>
      </c>
    </row>
    <row r="71" spans="1:18" x14ac:dyDescent="0.25">
      <c r="A71" t="s">
        <v>79</v>
      </c>
      <c r="B71" t="s">
        <v>325</v>
      </c>
      <c r="C71">
        <v>20</v>
      </c>
      <c r="D71" t="s">
        <v>337</v>
      </c>
      <c r="F71">
        <v>20</v>
      </c>
      <c r="G71">
        <v>17</v>
      </c>
      <c r="H71">
        <v>3</v>
      </c>
      <c r="I71">
        <v>1</v>
      </c>
      <c r="J71">
        <v>1</v>
      </c>
      <c r="K71">
        <v>0</v>
      </c>
      <c r="L71">
        <v>0</v>
      </c>
      <c r="M71">
        <v>10</v>
      </c>
      <c r="N71">
        <v>7</v>
      </c>
      <c r="O71" s="2" t="s">
        <v>2388</v>
      </c>
      <c r="P71" s="4">
        <v>628</v>
      </c>
      <c r="Q71" t="s">
        <v>361</v>
      </c>
      <c r="R71" t="str">
        <f>IF(Table3[[#This Row],[Narodowość]]&lt;&gt;"Polska","Tak","Nie")</f>
        <v>Nie</v>
      </c>
    </row>
    <row r="72" spans="1:18" x14ac:dyDescent="0.25">
      <c r="A72" t="s">
        <v>1992</v>
      </c>
      <c r="B72" t="s">
        <v>330</v>
      </c>
      <c r="C72">
        <v>21</v>
      </c>
      <c r="D72" t="s">
        <v>337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2">
        <v>0</v>
      </c>
      <c r="P72" s="4">
        <v>0</v>
      </c>
      <c r="Q72" t="s">
        <v>345</v>
      </c>
      <c r="R72" t="str">
        <f>IF(Table3[[#This Row],[Narodowość]]&lt;&gt;"Polska","Tak","Nie")</f>
        <v>Nie</v>
      </c>
    </row>
    <row r="73" spans="1:18" x14ac:dyDescent="0.25">
      <c r="A73" t="s">
        <v>133</v>
      </c>
      <c r="B73" t="s">
        <v>331</v>
      </c>
      <c r="C73">
        <v>24</v>
      </c>
      <c r="D73" t="s">
        <v>337</v>
      </c>
      <c r="F73">
        <v>5</v>
      </c>
      <c r="G73">
        <v>4</v>
      </c>
      <c r="H73">
        <v>0</v>
      </c>
      <c r="I73">
        <v>0</v>
      </c>
      <c r="J73">
        <v>0</v>
      </c>
      <c r="K73">
        <v>0</v>
      </c>
      <c r="L73">
        <v>0</v>
      </c>
      <c r="M73">
        <v>4</v>
      </c>
      <c r="N73">
        <v>0</v>
      </c>
      <c r="O73" s="2" t="s">
        <v>2279</v>
      </c>
      <c r="P73" s="4">
        <v>98</v>
      </c>
      <c r="Q73" t="s">
        <v>318</v>
      </c>
      <c r="R73" t="str">
        <f>IF(Table3[[#This Row],[Narodowość]]&lt;&gt;"Polska","Tak","Nie")</f>
        <v>Nie</v>
      </c>
    </row>
    <row r="74" spans="1:18" x14ac:dyDescent="0.25">
      <c r="A74" t="s">
        <v>245</v>
      </c>
      <c r="B74" t="s">
        <v>382</v>
      </c>
      <c r="C74">
        <v>30</v>
      </c>
      <c r="D74" t="s">
        <v>337</v>
      </c>
      <c r="F74">
        <v>11</v>
      </c>
      <c r="G74">
        <v>4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1</v>
      </c>
      <c r="O74" s="2" t="s">
        <v>2408</v>
      </c>
      <c r="P74" s="4">
        <v>316</v>
      </c>
      <c r="Q74" t="s">
        <v>349</v>
      </c>
      <c r="R74" t="str">
        <f>IF(Table3[[#This Row],[Narodowość]]&lt;&gt;"Polska","Tak","Nie")</f>
        <v>Nie</v>
      </c>
    </row>
    <row r="75" spans="1:18" x14ac:dyDescent="0.25">
      <c r="A75" t="s">
        <v>980</v>
      </c>
      <c r="B75" t="s">
        <v>0</v>
      </c>
      <c r="C75">
        <v>19</v>
      </c>
      <c r="D75" t="s">
        <v>337</v>
      </c>
      <c r="F75">
        <v>2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2">
        <v>0</v>
      </c>
      <c r="P75" s="4">
        <v>0</v>
      </c>
      <c r="Q75" t="s">
        <v>341</v>
      </c>
      <c r="R75" t="str">
        <f>IF(Table3[[#This Row],[Narodowość]]&lt;&gt;"Polska","Tak","Nie")</f>
        <v>Nie</v>
      </c>
    </row>
    <row r="76" spans="1:18" x14ac:dyDescent="0.25">
      <c r="A76" t="s">
        <v>289</v>
      </c>
      <c r="B76" t="s">
        <v>382</v>
      </c>
      <c r="C76">
        <v>29</v>
      </c>
      <c r="D76" t="s">
        <v>337</v>
      </c>
      <c r="F76">
        <v>18</v>
      </c>
      <c r="G76">
        <v>14</v>
      </c>
      <c r="H76">
        <v>0</v>
      </c>
      <c r="I76">
        <v>1</v>
      </c>
      <c r="J76">
        <v>0</v>
      </c>
      <c r="K76">
        <v>0</v>
      </c>
      <c r="L76">
        <v>0</v>
      </c>
      <c r="M76">
        <v>4</v>
      </c>
      <c r="N76">
        <v>1</v>
      </c>
      <c r="O76" s="2" t="s">
        <v>2357</v>
      </c>
      <c r="P76" s="4">
        <v>882</v>
      </c>
      <c r="Q76" t="s">
        <v>338</v>
      </c>
      <c r="R76" t="str">
        <f>IF(Table3[[#This Row],[Narodowość]]&lt;&gt;"Polska","Tak","Nie")</f>
        <v>Nie</v>
      </c>
    </row>
    <row r="77" spans="1:18" x14ac:dyDescent="0.25">
      <c r="A77" t="s">
        <v>289</v>
      </c>
      <c r="B77" t="s">
        <v>382</v>
      </c>
      <c r="C77">
        <v>29</v>
      </c>
      <c r="D77" t="s">
        <v>337</v>
      </c>
      <c r="F77">
        <v>15</v>
      </c>
      <c r="G77">
        <v>15</v>
      </c>
      <c r="H77">
        <v>0</v>
      </c>
      <c r="I77">
        <v>0</v>
      </c>
      <c r="J77">
        <v>2</v>
      </c>
      <c r="K77">
        <v>0</v>
      </c>
      <c r="L77">
        <v>0</v>
      </c>
      <c r="M77">
        <v>0</v>
      </c>
      <c r="N77">
        <v>0</v>
      </c>
      <c r="O77" s="2" t="s">
        <v>2392</v>
      </c>
      <c r="P77" s="4">
        <v>1350</v>
      </c>
      <c r="Q77" t="s">
        <v>340</v>
      </c>
      <c r="R77" t="str">
        <f>IF(Table3[[#This Row],[Narodowość]]&lt;&gt;"Polska","Tak","Nie")</f>
        <v>Nie</v>
      </c>
    </row>
    <row r="78" spans="1:18" x14ac:dyDescent="0.25">
      <c r="A78" t="s">
        <v>1686</v>
      </c>
      <c r="B78" t="s">
        <v>382</v>
      </c>
      <c r="C78">
        <v>27</v>
      </c>
      <c r="D78" t="s">
        <v>337</v>
      </c>
      <c r="F78">
        <v>8</v>
      </c>
      <c r="G78">
        <v>7</v>
      </c>
      <c r="H78">
        <v>0</v>
      </c>
      <c r="I78">
        <v>0</v>
      </c>
      <c r="J78">
        <v>2</v>
      </c>
      <c r="K78">
        <v>0</v>
      </c>
      <c r="L78">
        <v>0</v>
      </c>
      <c r="M78">
        <v>3</v>
      </c>
      <c r="N78">
        <v>1</v>
      </c>
      <c r="O78" s="2" t="s">
        <v>2415</v>
      </c>
      <c r="P78" s="4">
        <v>373</v>
      </c>
      <c r="Q78" t="s">
        <v>361</v>
      </c>
      <c r="R78" t="str">
        <f>IF(Table3[[#This Row],[Narodowość]]&lt;&gt;"Polska","Tak","Nie")</f>
        <v>Nie</v>
      </c>
    </row>
    <row r="79" spans="1:18" x14ac:dyDescent="0.25">
      <c r="A79" t="s">
        <v>1141</v>
      </c>
      <c r="B79" t="s">
        <v>331</v>
      </c>
      <c r="C79">
        <v>18</v>
      </c>
      <c r="D79" t="s">
        <v>337</v>
      </c>
      <c r="F79">
        <v>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2">
        <v>0</v>
      </c>
      <c r="P79" s="4">
        <v>0</v>
      </c>
      <c r="Q79" t="s">
        <v>344</v>
      </c>
      <c r="R79" t="str">
        <f>IF(Table3[[#This Row],[Narodowość]]&lt;&gt;"Polska","Tak","Nie")</f>
        <v>Nie</v>
      </c>
    </row>
    <row r="80" spans="1:18" x14ac:dyDescent="0.25">
      <c r="A80" t="s">
        <v>204</v>
      </c>
      <c r="B80" t="s">
        <v>0</v>
      </c>
      <c r="C80">
        <v>21</v>
      </c>
      <c r="D80" t="s">
        <v>337</v>
      </c>
      <c r="F80">
        <v>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2">
        <v>0</v>
      </c>
      <c r="P80" s="4">
        <v>0</v>
      </c>
      <c r="Q80" t="s">
        <v>334</v>
      </c>
      <c r="R80" t="str">
        <f>IF(Table3[[#This Row],[Narodowość]]&lt;&gt;"Polska","Tak","Nie")</f>
        <v>Nie</v>
      </c>
    </row>
    <row r="81" spans="1:18" x14ac:dyDescent="0.25">
      <c r="A81" t="s">
        <v>204</v>
      </c>
      <c r="B81" t="s">
        <v>0</v>
      </c>
      <c r="C81">
        <v>21</v>
      </c>
      <c r="D81" t="s">
        <v>337</v>
      </c>
      <c r="F81">
        <v>2</v>
      </c>
      <c r="G81">
        <v>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2" t="s">
        <v>2405</v>
      </c>
      <c r="P81" s="4">
        <v>180</v>
      </c>
      <c r="Q81" t="s">
        <v>319</v>
      </c>
      <c r="R81" t="str">
        <f>IF(Table3[[#This Row],[Narodowość]]&lt;&gt;"Polska","Tak","Nie")</f>
        <v>Nie</v>
      </c>
    </row>
    <row r="82" spans="1:18" x14ac:dyDescent="0.25">
      <c r="A82" t="s">
        <v>67</v>
      </c>
      <c r="B82" t="s">
        <v>324</v>
      </c>
      <c r="C82">
        <v>27</v>
      </c>
      <c r="D82" t="s">
        <v>337</v>
      </c>
      <c r="F82">
        <v>34</v>
      </c>
      <c r="G82">
        <v>34</v>
      </c>
      <c r="H82">
        <v>8</v>
      </c>
      <c r="I82">
        <v>7</v>
      </c>
      <c r="J82">
        <v>1</v>
      </c>
      <c r="K82">
        <v>0</v>
      </c>
      <c r="L82">
        <v>0</v>
      </c>
      <c r="M82">
        <v>2</v>
      </c>
      <c r="N82">
        <v>22</v>
      </c>
      <c r="O82" s="2" t="s">
        <v>2383</v>
      </c>
      <c r="P82" s="4">
        <v>2575</v>
      </c>
      <c r="Q82" t="s">
        <v>317</v>
      </c>
      <c r="R82" t="str">
        <f>IF(Table3[[#This Row],[Narodowość]]&lt;&gt;"Polska","Tak","Nie")</f>
        <v>Nie</v>
      </c>
    </row>
    <row r="83" spans="1:18" x14ac:dyDescent="0.25">
      <c r="A83" t="s">
        <v>53</v>
      </c>
      <c r="B83" t="s">
        <v>376</v>
      </c>
      <c r="C83">
        <v>31</v>
      </c>
      <c r="D83" t="s">
        <v>337</v>
      </c>
      <c r="F83">
        <v>27</v>
      </c>
      <c r="G83">
        <v>24</v>
      </c>
      <c r="H83">
        <v>0</v>
      </c>
      <c r="I83">
        <v>1</v>
      </c>
      <c r="J83">
        <v>6</v>
      </c>
      <c r="K83">
        <v>0</v>
      </c>
      <c r="L83">
        <v>0</v>
      </c>
      <c r="M83">
        <v>5</v>
      </c>
      <c r="N83">
        <v>2</v>
      </c>
      <c r="O83" s="2" t="s">
        <v>2402</v>
      </c>
      <c r="P83" s="4">
        <v>1714</v>
      </c>
      <c r="Q83" t="s">
        <v>348</v>
      </c>
      <c r="R83" t="str">
        <f>IF(Table3[[#This Row],[Narodowość]]&lt;&gt;"Polska","Tak","Nie")</f>
        <v>Nie</v>
      </c>
    </row>
    <row r="84" spans="1:18" x14ac:dyDescent="0.25">
      <c r="A84" t="s">
        <v>97</v>
      </c>
      <c r="B84" t="s">
        <v>382</v>
      </c>
      <c r="C84">
        <v>30</v>
      </c>
      <c r="D84" t="s">
        <v>337</v>
      </c>
      <c r="F84">
        <v>25</v>
      </c>
      <c r="G84">
        <v>25</v>
      </c>
      <c r="H84">
        <v>3</v>
      </c>
      <c r="I84">
        <v>0</v>
      </c>
      <c r="J84">
        <v>3</v>
      </c>
      <c r="K84">
        <v>0</v>
      </c>
      <c r="L84">
        <v>0</v>
      </c>
      <c r="M84">
        <v>0</v>
      </c>
      <c r="N84">
        <v>0</v>
      </c>
      <c r="O84" s="2" t="s">
        <v>2321</v>
      </c>
      <c r="P84" s="4">
        <v>2250</v>
      </c>
      <c r="Q84" t="s">
        <v>334</v>
      </c>
      <c r="R84" t="str">
        <f>IF(Table3[[#This Row],[Narodowość]]&lt;&gt;"Polska","Tak","Nie")</f>
        <v>Nie</v>
      </c>
    </row>
    <row r="85" spans="1:18" x14ac:dyDescent="0.25">
      <c r="A85" t="s">
        <v>136</v>
      </c>
      <c r="B85" t="s">
        <v>331</v>
      </c>
      <c r="C85">
        <v>22</v>
      </c>
      <c r="D85" t="s">
        <v>337</v>
      </c>
      <c r="F85">
        <v>32</v>
      </c>
      <c r="G85">
        <v>32</v>
      </c>
      <c r="H85">
        <v>1</v>
      </c>
      <c r="I85">
        <v>2</v>
      </c>
      <c r="J85">
        <v>11</v>
      </c>
      <c r="K85">
        <v>0</v>
      </c>
      <c r="L85">
        <v>0</v>
      </c>
      <c r="M85">
        <v>1</v>
      </c>
      <c r="N85">
        <v>10</v>
      </c>
      <c r="O85" s="2" t="s">
        <v>2292</v>
      </c>
      <c r="P85" s="4">
        <v>2551</v>
      </c>
      <c r="Q85" t="s">
        <v>318</v>
      </c>
      <c r="R85" t="str">
        <f>IF(Table3[[#This Row],[Narodowość]]&lt;&gt;"Polska","Tak","Nie")</f>
        <v>Nie</v>
      </c>
    </row>
    <row r="86" spans="1:18" x14ac:dyDescent="0.25">
      <c r="A86" t="s">
        <v>309</v>
      </c>
      <c r="B86" t="s">
        <v>325</v>
      </c>
      <c r="C86">
        <v>29</v>
      </c>
      <c r="D86" t="s">
        <v>337</v>
      </c>
      <c r="F86">
        <v>27</v>
      </c>
      <c r="G86">
        <v>27</v>
      </c>
      <c r="H86">
        <v>11</v>
      </c>
      <c r="I86">
        <v>0</v>
      </c>
      <c r="J86">
        <v>8</v>
      </c>
      <c r="K86">
        <v>0</v>
      </c>
      <c r="L86">
        <v>0</v>
      </c>
      <c r="M86">
        <v>1</v>
      </c>
      <c r="N86">
        <v>14</v>
      </c>
      <c r="O86" s="2" t="s">
        <v>2434</v>
      </c>
      <c r="P86" s="4">
        <v>2254</v>
      </c>
      <c r="Q86" t="s">
        <v>348</v>
      </c>
      <c r="R86" t="str">
        <f>IF(Table3[[#This Row],[Narodowość]]&lt;&gt;"Polska","Tak","Nie")</f>
        <v>Nie</v>
      </c>
    </row>
    <row r="87" spans="1:18" x14ac:dyDescent="0.25">
      <c r="A87" t="s">
        <v>282</v>
      </c>
      <c r="B87" t="s">
        <v>326</v>
      </c>
      <c r="C87">
        <v>19</v>
      </c>
      <c r="D87" t="s">
        <v>337</v>
      </c>
      <c r="E87" t="s">
        <v>420</v>
      </c>
      <c r="F87">
        <v>5</v>
      </c>
      <c r="G87">
        <v>3</v>
      </c>
      <c r="H87">
        <v>0</v>
      </c>
      <c r="I87">
        <v>0</v>
      </c>
      <c r="J87">
        <v>0</v>
      </c>
      <c r="K87">
        <v>0</v>
      </c>
      <c r="L87">
        <v>0</v>
      </c>
      <c r="M87">
        <v>3</v>
      </c>
      <c r="N87">
        <v>0</v>
      </c>
      <c r="O87" s="2" t="s">
        <v>2368</v>
      </c>
      <c r="P87" s="4">
        <v>32</v>
      </c>
      <c r="Q87" t="s">
        <v>339</v>
      </c>
      <c r="R87" t="str">
        <f>IF(Table3[[#This Row],[Narodowość]]&lt;&gt;"Polska","Tak","Nie")</f>
        <v>Nie</v>
      </c>
    </row>
    <row r="88" spans="1:18" x14ac:dyDescent="0.25">
      <c r="A88" t="s">
        <v>471</v>
      </c>
      <c r="B88" t="s">
        <v>328</v>
      </c>
      <c r="C88">
        <v>21</v>
      </c>
      <c r="D88" t="s">
        <v>479</v>
      </c>
      <c r="F88">
        <v>22</v>
      </c>
      <c r="G88">
        <v>17</v>
      </c>
      <c r="H88">
        <v>0</v>
      </c>
      <c r="I88">
        <v>2</v>
      </c>
      <c r="J88">
        <v>3</v>
      </c>
      <c r="K88">
        <v>0</v>
      </c>
      <c r="L88">
        <v>0</v>
      </c>
      <c r="M88">
        <v>14</v>
      </c>
      <c r="N88">
        <v>3</v>
      </c>
      <c r="O88" s="2" t="s">
        <v>2344</v>
      </c>
      <c r="P88" s="4">
        <v>455</v>
      </c>
      <c r="Q88" t="s">
        <v>338</v>
      </c>
      <c r="R88" t="str">
        <f>IF(Table3[[#This Row],[Narodowość]]&lt;&gt;"Polska","Tak","Nie")</f>
        <v>Tak</v>
      </c>
    </row>
    <row r="89" spans="1:18" x14ac:dyDescent="0.25">
      <c r="A89" t="s">
        <v>196</v>
      </c>
      <c r="B89" t="s">
        <v>331</v>
      </c>
      <c r="C89">
        <v>21</v>
      </c>
      <c r="D89" t="s">
        <v>337</v>
      </c>
      <c r="E89" t="s">
        <v>392</v>
      </c>
      <c r="F89">
        <v>24</v>
      </c>
      <c r="G89">
        <v>23</v>
      </c>
      <c r="H89">
        <v>1</v>
      </c>
      <c r="I89">
        <v>2</v>
      </c>
      <c r="J89">
        <v>5</v>
      </c>
      <c r="K89">
        <v>0</v>
      </c>
      <c r="L89">
        <v>0</v>
      </c>
      <c r="M89">
        <v>2</v>
      </c>
      <c r="N89">
        <v>12</v>
      </c>
      <c r="O89" s="2" t="s">
        <v>2338</v>
      </c>
      <c r="P89" s="4">
        <v>1817</v>
      </c>
      <c r="Q89" t="s">
        <v>332</v>
      </c>
      <c r="R89" t="str">
        <f>IF(Table3[[#This Row],[Narodowość]]&lt;&gt;"Polska","Tak","Nie")</f>
        <v>Nie</v>
      </c>
    </row>
    <row r="90" spans="1:18" x14ac:dyDescent="0.25">
      <c r="A90" t="s">
        <v>161</v>
      </c>
      <c r="B90" t="s">
        <v>382</v>
      </c>
      <c r="C90">
        <v>30</v>
      </c>
      <c r="D90" t="s">
        <v>384</v>
      </c>
      <c r="F90">
        <v>25</v>
      </c>
      <c r="G90">
        <v>24</v>
      </c>
      <c r="H90">
        <v>0</v>
      </c>
      <c r="I90">
        <v>0</v>
      </c>
      <c r="J90">
        <v>0</v>
      </c>
      <c r="K90">
        <v>0</v>
      </c>
      <c r="L90">
        <v>1</v>
      </c>
      <c r="M90">
        <v>1</v>
      </c>
      <c r="N90">
        <v>2</v>
      </c>
      <c r="O90" s="2" t="s">
        <v>2321</v>
      </c>
      <c r="P90" s="4">
        <v>1985</v>
      </c>
      <c r="Q90" t="s">
        <v>341</v>
      </c>
      <c r="R90" t="str">
        <f>IF(Table3[[#This Row],[Narodowość]]&lt;&gt;"Polska","Tak","Nie")</f>
        <v>Tak</v>
      </c>
    </row>
    <row r="91" spans="1:18" x14ac:dyDescent="0.25">
      <c r="A91" t="s">
        <v>137</v>
      </c>
      <c r="B91" t="s">
        <v>326</v>
      </c>
      <c r="C91">
        <v>27</v>
      </c>
      <c r="D91" t="s">
        <v>342</v>
      </c>
      <c r="F91">
        <v>9</v>
      </c>
      <c r="G91">
        <v>7</v>
      </c>
      <c r="H91">
        <v>0</v>
      </c>
      <c r="I91">
        <v>0</v>
      </c>
      <c r="J91">
        <v>1</v>
      </c>
      <c r="K91">
        <v>0</v>
      </c>
      <c r="L91">
        <v>0</v>
      </c>
      <c r="M91">
        <v>5</v>
      </c>
      <c r="N91">
        <v>2</v>
      </c>
      <c r="O91" s="2" t="s">
        <v>2302</v>
      </c>
      <c r="P91" s="4">
        <v>240</v>
      </c>
      <c r="Q91" t="s">
        <v>318</v>
      </c>
      <c r="R91" t="str">
        <f>IF(Table3[[#This Row],[Narodowość]]&lt;&gt;"Polska","Tak","Nie")</f>
        <v>Tak</v>
      </c>
    </row>
    <row r="92" spans="1:18" x14ac:dyDescent="0.25">
      <c r="A92" t="s">
        <v>495</v>
      </c>
      <c r="B92" t="s">
        <v>382</v>
      </c>
      <c r="C92">
        <v>33</v>
      </c>
      <c r="D92" t="s">
        <v>337</v>
      </c>
      <c r="F92">
        <v>16</v>
      </c>
      <c r="G92">
        <v>13</v>
      </c>
      <c r="H92">
        <v>1</v>
      </c>
      <c r="I92">
        <v>0</v>
      </c>
      <c r="J92">
        <v>6</v>
      </c>
      <c r="K92">
        <v>1</v>
      </c>
      <c r="L92">
        <v>0</v>
      </c>
      <c r="M92">
        <v>1</v>
      </c>
      <c r="N92">
        <v>1</v>
      </c>
      <c r="O92" s="2" t="s">
        <v>2301</v>
      </c>
      <c r="P92" s="4">
        <v>1072</v>
      </c>
      <c r="Q92" t="s">
        <v>361</v>
      </c>
      <c r="R92" t="str">
        <f>IF(Table3[[#This Row],[Narodowość]]&lt;&gt;"Polska","Tak","Nie")</f>
        <v>Nie</v>
      </c>
    </row>
    <row r="93" spans="1:18" x14ac:dyDescent="0.25">
      <c r="A93" t="s">
        <v>1676</v>
      </c>
      <c r="B93" t="s">
        <v>0</v>
      </c>
      <c r="C93">
        <v>21</v>
      </c>
      <c r="D93" t="s">
        <v>337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2">
        <v>0</v>
      </c>
      <c r="P93" s="4">
        <v>0</v>
      </c>
      <c r="Q93" t="s">
        <v>361</v>
      </c>
      <c r="R93" t="str">
        <f>IF(Table3[[#This Row],[Narodowość]]&lt;&gt;"Polska","Tak","Nie")</f>
        <v>Nie</v>
      </c>
    </row>
    <row r="94" spans="1:18" x14ac:dyDescent="0.25">
      <c r="A94" t="s">
        <v>191</v>
      </c>
      <c r="B94" t="s">
        <v>382</v>
      </c>
      <c r="C94">
        <v>21</v>
      </c>
      <c r="D94" t="s">
        <v>366</v>
      </c>
      <c r="E94" t="s">
        <v>480</v>
      </c>
      <c r="F94">
        <v>3</v>
      </c>
      <c r="G94">
        <v>3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1</v>
      </c>
      <c r="O94" s="2" t="s">
        <v>2334</v>
      </c>
      <c r="P94" s="4">
        <v>113</v>
      </c>
      <c r="Q94" t="s">
        <v>332</v>
      </c>
      <c r="R94" t="str">
        <f>IF(Table3[[#This Row],[Narodowość]]&lt;&gt;"Polska","Tak","Nie")</f>
        <v>Tak</v>
      </c>
    </row>
    <row r="95" spans="1:18" x14ac:dyDescent="0.25">
      <c r="A95" t="s">
        <v>78</v>
      </c>
      <c r="B95" t="s">
        <v>382</v>
      </c>
      <c r="C95">
        <v>27</v>
      </c>
      <c r="D95" t="s">
        <v>366</v>
      </c>
      <c r="F95">
        <v>28</v>
      </c>
      <c r="G95">
        <v>25</v>
      </c>
      <c r="H95">
        <v>0</v>
      </c>
      <c r="I95">
        <v>1</v>
      </c>
      <c r="J95">
        <v>4</v>
      </c>
      <c r="K95">
        <v>0</v>
      </c>
      <c r="L95">
        <v>1</v>
      </c>
      <c r="M95">
        <v>4</v>
      </c>
      <c r="N95">
        <v>1</v>
      </c>
      <c r="O95" s="2" t="s">
        <v>2397</v>
      </c>
      <c r="P95" s="4">
        <v>1923</v>
      </c>
      <c r="Q95" t="s">
        <v>361</v>
      </c>
      <c r="R95" t="str">
        <f>IF(Table3[[#This Row],[Narodowość]]&lt;&gt;"Polska","Tak","Nie")</f>
        <v>Tak</v>
      </c>
    </row>
    <row r="96" spans="1:18" x14ac:dyDescent="0.25">
      <c r="A96" t="s">
        <v>387</v>
      </c>
      <c r="B96" t="s">
        <v>357</v>
      </c>
      <c r="C96">
        <v>26</v>
      </c>
      <c r="D96" t="s">
        <v>346</v>
      </c>
      <c r="E96" t="s">
        <v>388</v>
      </c>
      <c r="F96">
        <v>32</v>
      </c>
      <c r="G96">
        <v>32</v>
      </c>
      <c r="H96">
        <v>0</v>
      </c>
      <c r="I96">
        <v>6</v>
      </c>
      <c r="J96">
        <v>5</v>
      </c>
      <c r="K96">
        <v>0</v>
      </c>
      <c r="L96">
        <v>0</v>
      </c>
      <c r="M96">
        <v>4</v>
      </c>
      <c r="N96">
        <v>12</v>
      </c>
      <c r="O96" s="2" t="s">
        <v>2292</v>
      </c>
      <c r="P96" s="4">
        <v>2434</v>
      </c>
      <c r="Q96" t="s">
        <v>361</v>
      </c>
      <c r="R96" t="str">
        <f>IF(Table3[[#This Row],[Narodowość]]&lt;&gt;"Polska","Tak","Nie")</f>
        <v>Tak</v>
      </c>
    </row>
    <row r="97" spans="1:18" x14ac:dyDescent="0.25">
      <c r="A97" t="s">
        <v>496</v>
      </c>
      <c r="B97" t="s">
        <v>382</v>
      </c>
      <c r="C97">
        <v>25</v>
      </c>
      <c r="D97" t="s">
        <v>497</v>
      </c>
      <c r="F97">
        <v>31</v>
      </c>
      <c r="G97">
        <v>22</v>
      </c>
      <c r="H97">
        <v>1</v>
      </c>
      <c r="I97">
        <v>0</v>
      </c>
      <c r="J97">
        <v>3</v>
      </c>
      <c r="K97">
        <v>0</v>
      </c>
      <c r="L97">
        <v>0</v>
      </c>
      <c r="M97">
        <v>9</v>
      </c>
      <c r="N97">
        <v>3</v>
      </c>
      <c r="O97" s="2" t="s">
        <v>2427</v>
      </c>
      <c r="P97" s="4">
        <v>1223</v>
      </c>
      <c r="Q97" t="s">
        <v>319</v>
      </c>
      <c r="R97" t="str">
        <f>IF(Table3[[#This Row],[Narodowość]]&lt;&gt;"Polska","Tak","Nie")</f>
        <v>Tak</v>
      </c>
    </row>
    <row r="98" spans="1:18" x14ac:dyDescent="0.25">
      <c r="A98" t="s">
        <v>240</v>
      </c>
      <c r="B98" t="s">
        <v>325</v>
      </c>
      <c r="C98">
        <v>27</v>
      </c>
      <c r="D98" t="s">
        <v>333</v>
      </c>
      <c r="F98">
        <v>30</v>
      </c>
      <c r="G98">
        <v>25</v>
      </c>
      <c r="H98">
        <v>2</v>
      </c>
      <c r="I98">
        <v>0</v>
      </c>
      <c r="J98">
        <v>2</v>
      </c>
      <c r="K98">
        <v>0</v>
      </c>
      <c r="L98">
        <v>0</v>
      </c>
      <c r="M98">
        <v>16</v>
      </c>
      <c r="N98">
        <v>8</v>
      </c>
      <c r="O98" s="2" t="s">
        <v>2303</v>
      </c>
      <c r="P98" s="4">
        <v>828</v>
      </c>
      <c r="Q98" t="s">
        <v>345</v>
      </c>
      <c r="R98" t="str">
        <f>IF(Table3[[#This Row],[Narodowość]]&lt;&gt;"Polska","Tak","Nie")</f>
        <v>Tak</v>
      </c>
    </row>
    <row r="99" spans="1:18" x14ac:dyDescent="0.25">
      <c r="A99" t="s">
        <v>124</v>
      </c>
      <c r="B99" t="s">
        <v>0</v>
      </c>
      <c r="C99">
        <v>19</v>
      </c>
      <c r="D99" t="s">
        <v>337</v>
      </c>
      <c r="F99">
        <v>21</v>
      </c>
      <c r="G99">
        <v>15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0</v>
      </c>
      <c r="O99" s="2" t="s">
        <v>2281</v>
      </c>
      <c r="P99" s="4">
        <v>1276</v>
      </c>
      <c r="Q99" t="s">
        <v>318</v>
      </c>
      <c r="R99" t="str">
        <f>IF(Table3[[#This Row],[Narodowość]]&lt;&gt;"Polska","Tak","Nie")</f>
        <v>Nie</v>
      </c>
    </row>
    <row r="100" spans="1:18" x14ac:dyDescent="0.25">
      <c r="A100" t="s">
        <v>298</v>
      </c>
      <c r="B100" t="s">
        <v>325</v>
      </c>
      <c r="C100">
        <v>27</v>
      </c>
      <c r="D100" t="s">
        <v>554</v>
      </c>
      <c r="F100">
        <v>11</v>
      </c>
      <c r="G100">
        <v>11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6</v>
      </c>
      <c r="N100">
        <v>5</v>
      </c>
      <c r="O100" s="2" t="s">
        <v>2390</v>
      </c>
      <c r="P100" s="4">
        <v>472</v>
      </c>
      <c r="Q100" t="s">
        <v>340</v>
      </c>
      <c r="R100" t="str">
        <f>IF(Table3[[#This Row],[Narodowość]]&lt;&gt;"Polska","Tak","Nie")</f>
        <v>Tak</v>
      </c>
    </row>
    <row r="101" spans="1:18" x14ac:dyDescent="0.25">
      <c r="A101" t="s">
        <v>112</v>
      </c>
      <c r="B101" t="s">
        <v>328</v>
      </c>
      <c r="C101">
        <v>29</v>
      </c>
      <c r="D101" t="s">
        <v>347</v>
      </c>
      <c r="F101">
        <v>15</v>
      </c>
      <c r="G101">
        <v>12</v>
      </c>
      <c r="H101">
        <v>1</v>
      </c>
      <c r="I101">
        <v>0</v>
      </c>
      <c r="J101">
        <v>2</v>
      </c>
      <c r="K101">
        <v>0</v>
      </c>
      <c r="L101">
        <v>0</v>
      </c>
      <c r="M101">
        <v>7</v>
      </c>
      <c r="N101">
        <v>5</v>
      </c>
      <c r="O101" s="2" t="s">
        <v>2292</v>
      </c>
      <c r="P101" s="4">
        <v>437</v>
      </c>
      <c r="Q101" t="s">
        <v>338</v>
      </c>
      <c r="R101" t="str">
        <f>IF(Table3[[#This Row],[Narodowość]]&lt;&gt;"Polska","Tak","Nie")</f>
        <v>Tak</v>
      </c>
    </row>
    <row r="102" spans="1:18" x14ac:dyDescent="0.25">
      <c r="A102" t="s">
        <v>113</v>
      </c>
      <c r="B102" t="s">
        <v>326</v>
      </c>
      <c r="C102">
        <v>24</v>
      </c>
      <c r="D102" t="s">
        <v>370</v>
      </c>
      <c r="E102" t="s">
        <v>390</v>
      </c>
      <c r="F102">
        <v>33</v>
      </c>
      <c r="G102">
        <v>33</v>
      </c>
      <c r="H102">
        <v>1</v>
      </c>
      <c r="I102">
        <v>3</v>
      </c>
      <c r="J102">
        <v>6</v>
      </c>
      <c r="K102">
        <v>0</v>
      </c>
      <c r="L102">
        <v>0</v>
      </c>
      <c r="M102">
        <v>9</v>
      </c>
      <c r="N102">
        <v>14</v>
      </c>
      <c r="O102" s="2" t="s">
        <v>2359</v>
      </c>
      <c r="P102" s="4">
        <v>2070</v>
      </c>
      <c r="Q102" t="s">
        <v>338</v>
      </c>
      <c r="R102" t="str">
        <f>IF(Table3[[#This Row],[Narodowość]]&lt;&gt;"Polska","Tak","Nie")</f>
        <v>Tak</v>
      </c>
    </row>
    <row r="103" spans="1:18" x14ac:dyDescent="0.25">
      <c r="A103" t="s">
        <v>146</v>
      </c>
      <c r="B103" t="s">
        <v>382</v>
      </c>
      <c r="C103">
        <v>23</v>
      </c>
      <c r="D103" t="s">
        <v>384</v>
      </c>
      <c r="F103">
        <v>15</v>
      </c>
      <c r="G103">
        <v>6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2</v>
      </c>
      <c r="N103">
        <v>1</v>
      </c>
      <c r="O103" s="2" t="s">
        <v>2349</v>
      </c>
      <c r="P103" s="4">
        <v>327</v>
      </c>
      <c r="Q103" t="s">
        <v>344</v>
      </c>
      <c r="R103" t="str">
        <f>IF(Table3[[#This Row],[Narodowość]]&lt;&gt;"Polska","Tak","Nie")</f>
        <v>Tak</v>
      </c>
    </row>
    <row r="104" spans="1:18" x14ac:dyDescent="0.25">
      <c r="A104" t="s">
        <v>31</v>
      </c>
      <c r="B104" t="s">
        <v>352</v>
      </c>
      <c r="C104">
        <v>31</v>
      </c>
      <c r="D104" t="s">
        <v>366</v>
      </c>
      <c r="F104">
        <v>33</v>
      </c>
      <c r="G104">
        <v>33</v>
      </c>
      <c r="H104">
        <v>3</v>
      </c>
      <c r="I104">
        <v>1</v>
      </c>
      <c r="J104">
        <v>4</v>
      </c>
      <c r="K104">
        <v>0</v>
      </c>
      <c r="L104">
        <v>0</v>
      </c>
      <c r="M104">
        <v>1</v>
      </c>
      <c r="N104">
        <v>1</v>
      </c>
      <c r="O104" s="2" t="s">
        <v>2306</v>
      </c>
      <c r="P104" s="4">
        <v>2915</v>
      </c>
      <c r="Q104" t="s">
        <v>23</v>
      </c>
      <c r="R104" t="str">
        <f>IF(Table3[[#This Row],[Narodowość]]&lt;&gt;"Polska","Tak","Nie")</f>
        <v>Tak</v>
      </c>
    </row>
    <row r="105" spans="1:18" x14ac:dyDescent="0.25">
      <c r="A105" t="s">
        <v>396</v>
      </c>
      <c r="B105" t="s">
        <v>331</v>
      </c>
      <c r="C105">
        <v>28</v>
      </c>
      <c r="D105" t="s">
        <v>337</v>
      </c>
      <c r="F105">
        <v>29</v>
      </c>
      <c r="G105">
        <v>29</v>
      </c>
      <c r="H105">
        <v>1</v>
      </c>
      <c r="I105">
        <v>4</v>
      </c>
      <c r="J105">
        <v>7</v>
      </c>
      <c r="K105">
        <v>0</v>
      </c>
      <c r="L105">
        <v>0</v>
      </c>
      <c r="M105">
        <v>1</v>
      </c>
      <c r="N105">
        <v>3</v>
      </c>
      <c r="O105" s="2" t="s">
        <v>2340</v>
      </c>
      <c r="P105" s="4">
        <v>2530</v>
      </c>
      <c r="Q105" t="s">
        <v>341</v>
      </c>
      <c r="R105" t="str">
        <f>IF(Table3[[#This Row],[Narodowość]]&lt;&gt;"Polska","Tak","Nie")</f>
        <v>Nie</v>
      </c>
    </row>
    <row r="106" spans="1:18" x14ac:dyDescent="0.25">
      <c r="A106" t="s">
        <v>355</v>
      </c>
      <c r="B106" t="s">
        <v>324</v>
      </c>
      <c r="C106">
        <v>24</v>
      </c>
      <c r="D106" t="s">
        <v>337</v>
      </c>
      <c r="F106">
        <v>29</v>
      </c>
      <c r="G106">
        <v>27</v>
      </c>
      <c r="H106">
        <v>5</v>
      </c>
      <c r="I106">
        <v>4</v>
      </c>
      <c r="J106">
        <v>4</v>
      </c>
      <c r="K106">
        <v>0</v>
      </c>
      <c r="L106">
        <v>0</v>
      </c>
      <c r="M106">
        <v>6</v>
      </c>
      <c r="N106">
        <v>19</v>
      </c>
      <c r="O106" s="2" t="s">
        <v>2435</v>
      </c>
      <c r="P106" s="4">
        <v>1755</v>
      </c>
      <c r="Q106" t="s">
        <v>348</v>
      </c>
      <c r="R106" t="str">
        <f>IF(Table3[[#This Row],[Narodowość]]&lt;&gt;"Polska","Tak","Nie")</f>
        <v>Nie</v>
      </c>
    </row>
    <row r="107" spans="1:18" x14ac:dyDescent="0.25">
      <c r="A107" t="s">
        <v>176</v>
      </c>
      <c r="B107" t="s">
        <v>376</v>
      </c>
      <c r="C107">
        <v>31</v>
      </c>
      <c r="D107" t="s">
        <v>337</v>
      </c>
      <c r="F107">
        <v>24</v>
      </c>
      <c r="G107">
        <v>24</v>
      </c>
      <c r="H107">
        <v>0</v>
      </c>
      <c r="I107">
        <v>3</v>
      </c>
      <c r="J107">
        <v>7</v>
      </c>
      <c r="K107">
        <v>0</v>
      </c>
      <c r="L107">
        <v>0</v>
      </c>
      <c r="M107">
        <v>0</v>
      </c>
      <c r="N107">
        <v>4</v>
      </c>
      <c r="O107" s="2" t="s">
        <v>2375</v>
      </c>
      <c r="P107" s="4">
        <v>2016</v>
      </c>
      <c r="Q107" t="s">
        <v>315</v>
      </c>
      <c r="R107" t="str">
        <f>IF(Table3[[#This Row],[Narodowość]]&lt;&gt;"Polska","Tak","Nie")</f>
        <v>Nie</v>
      </c>
    </row>
    <row r="108" spans="1:18" x14ac:dyDescent="0.25">
      <c r="A108" t="s">
        <v>329</v>
      </c>
      <c r="B108" t="s">
        <v>328</v>
      </c>
      <c r="C108">
        <v>29</v>
      </c>
      <c r="D108" t="s">
        <v>337</v>
      </c>
      <c r="F108">
        <v>33</v>
      </c>
      <c r="G108">
        <v>33</v>
      </c>
      <c r="H108">
        <v>6</v>
      </c>
      <c r="I108">
        <v>8</v>
      </c>
      <c r="J108">
        <v>2</v>
      </c>
      <c r="K108">
        <v>0</v>
      </c>
      <c r="L108">
        <v>0</v>
      </c>
      <c r="M108">
        <v>5</v>
      </c>
      <c r="N108">
        <v>23</v>
      </c>
      <c r="O108" s="2" t="s">
        <v>2373</v>
      </c>
      <c r="P108" s="4">
        <v>2473</v>
      </c>
      <c r="Q108" t="s">
        <v>344</v>
      </c>
      <c r="R108" t="str">
        <f>IF(Table3[[#This Row],[Narodowość]]&lt;&gt;"Polska","Tak","Nie")</f>
        <v>Nie</v>
      </c>
    </row>
    <row r="109" spans="1:18" x14ac:dyDescent="0.25">
      <c r="A109" t="s">
        <v>271</v>
      </c>
      <c r="B109" t="s">
        <v>382</v>
      </c>
      <c r="C109">
        <v>23</v>
      </c>
      <c r="D109" t="s">
        <v>337</v>
      </c>
      <c r="F109">
        <v>30</v>
      </c>
      <c r="G109">
        <v>28</v>
      </c>
      <c r="H109">
        <v>1</v>
      </c>
      <c r="I109">
        <v>4</v>
      </c>
      <c r="J109">
        <v>7</v>
      </c>
      <c r="K109">
        <v>0</v>
      </c>
      <c r="L109">
        <v>0</v>
      </c>
      <c r="M109">
        <v>2</v>
      </c>
      <c r="N109">
        <v>2</v>
      </c>
      <c r="O109" s="2" t="s">
        <v>2374</v>
      </c>
      <c r="P109" s="4">
        <v>2268</v>
      </c>
      <c r="Q109" t="s">
        <v>339</v>
      </c>
      <c r="R109" t="str">
        <f>IF(Table3[[#This Row],[Narodowość]]&lt;&gt;"Polska","Tak","Nie")</f>
        <v>Nie</v>
      </c>
    </row>
    <row r="110" spans="1:18" x14ac:dyDescent="0.25">
      <c r="A110" t="s">
        <v>291</v>
      </c>
      <c r="B110" t="s">
        <v>382</v>
      </c>
      <c r="C110">
        <v>24</v>
      </c>
      <c r="D110" t="s">
        <v>337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2">
        <v>0</v>
      </c>
      <c r="P110" s="4">
        <v>0</v>
      </c>
      <c r="Q110" t="s">
        <v>340</v>
      </c>
      <c r="R110" t="str">
        <f>IF(Table3[[#This Row],[Narodowość]]&lt;&gt;"Polska","Tak","Nie")</f>
        <v>Nie</v>
      </c>
    </row>
    <row r="111" spans="1:18" x14ac:dyDescent="0.25">
      <c r="A111" t="s">
        <v>205</v>
      </c>
      <c r="B111" t="s">
        <v>0</v>
      </c>
      <c r="C111">
        <v>29</v>
      </c>
      <c r="D111" t="s">
        <v>337</v>
      </c>
      <c r="F111">
        <v>19</v>
      </c>
      <c r="G111">
        <v>3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 s="2" t="s">
        <v>2368</v>
      </c>
      <c r="P111" s="4">
        <v>270</v>
      </c>
      <c r="Q111" t="s">
        <v>319</v>
      </c>
      <c r="R111" t="str">
        <f>IF(Table3[[#This Row],[Narodowość]]&lt;&gt;"Polska","Tak","Nie")</f>
        <v>Nie</v>
      </c>
    </row>
    <row r="112" spans="1:18" x14ac:dyDescent="0.25">
      <c r="A112" t="s">
        <v>279</v>
      </c>
      <c r="B112" t="s">
        <v>330</v>
      </c>
      <c r="C112">
        <v>25</v>
      </c>
      <c r="D112" t="s">
        <v>337</v>
      </c>
      <c r="F112">
        <v>27</v>
      </c>
      <c r="G112">
        <v>27</v>
      </c>
      <c r="H112">
        <v>3</v>
      </c>
      <c r="I112">
        <v>2</v>
      </c>
      <c r="J112">
        <v>3</v>
      </c>
      <c r="K112">
        <v>0</v>
      </c>
      <c r="L112">
        <v>0</v>
      </c>
      <c r="M112">
        <v>6</v>
      </c>
      <c r="N112">
        <v>9</v>
      </c>
      <c r="O112" s="2" t="s">
        <v>2384</v>
      </c>
      <c r="P112" s="4">
        <v>1942</v>
      </c>
      <c r="Q112" t="s">
        <v>339</v>
      </c>
      <c r="R112" t="str">
        <f>IF(Table3[[#This Row],[Narodowość]]&lt;&gt;"Polska","Tak","Nie")</f>
        <v>Nie</v>
      </c>
    </row>
    <row r="113" spans="1:18" x14ac:dyDescent="0.25">
      <c r="A113" t="s">
        <v>353</v>
      </c>
      <c r="B113" t="s">
        <v>324</v>
      </c>
      <c r="C113">
        <v>25</v>
      </c>
      <c r="D113" t="s">
        <v>337</v>
      </c>
      <c r="F113">
        <v>21</v>
      </c>
      <c r="G113">
        <v>18</v>
      </c>
      <c r="H113">
        <v>6</v>
      </c>
      <c r="I113">
        <v>3</v>
      </c>
      <c r="J113">
        <v>2</v>
      </c>
      <c r="K113">
        <v>0</v>
      </c>
      <c r="L113">
        <v>0</v>
      </c>
      <c r="M113">
        <v>9</v>
      </c>
      <c r="N113">
        <v>8</v>
      </c>
      <c r="O113" s="2" t="s">
        <v>2358</v>
      </c>
      <c r="P113" s="4">
        <v>919</v>
      </c>
      <c r="Q113" t="s">
        <v>339</v>
      </c>
      <c r="R113" t="str">
        <f>IF(Table3[[#This Row],[Narodowość]]&lt;&gt;"Polska","Tak","Nie")</f>
        <v>Nie</v>
      </c>
    </row>
    <row r="114" spans="1:18" x14ac:dyDescent="0.25">
      <c r="A114" t="s">
        <v>1219</v>
      </c>
      <c r="B114" t="s">
        <v>0</v>
      </c>
      <c r="C114">
        <v>25</v>
      </c>
      <c r="D114" t="s">
        <v>337</v>
      </c>
      <c r="F114">
        <v>22</v>
      </c>
      <c r="G114">
        <v>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2" t="s">
        <v>2291</v>
      </c>
      <c r="P114" s="4">
        <v>180</v>
      </c>
      <c r="Q114" t="s">
        <v>339</v>
      </c>
      <c r="R114" t="str">
        <f>IF(Table3[[#This Row],[Narodowość]]&lt;&gt;"Polska","Tak","Nie")</f>
        <v>Nie</v>
      </c>
    </row>
    <row r="115" spans="1:18" x14ac:dyDescent="0.25">
      <c r="A115" t="s">
        <v>511</v>
      </c>
      <c r="B115" t="s">
        <v>376</v>
      </c>
      <c r="C115">
        <v>32</v>
      </c>
      <c r="D115" t="s">
        <v>337</v>
      </c>
      <c r="F115">
        <v>28</v>
      </c>
      <c r="G115">
        <v>13</v>
      </c>
      <c r="H115">
        <v>0</v>
      </c>
      <c r="I115">
        <v>1</v>
      </c>
      <c r="J115">
        <v>2</v>
      </c>
      <c r="K115">
        <v>0</v>
      </c>
      <c r="L115">
        <v>0</v>
      </c>
      <c r="M115">
        <v>3</v>
      </c>
      <c r="N115">
        <v>5</v>
      </c>
      <c r="O115" s="2" t="s">
        <v>2382</v>
      </c>
      <c r="P115" s="4">
        <v>864</v>
      </c>
      <c r="Q115" t="s">
        <v>339</v>
      </c>
      <c r="R115" t="str">
        <f>IF(Table3[[#This Row],[Narodowość]]&lt;&gt;"Polska","Tak","Nie")</f>
        <v>Nie</v>
      </c>
    </row>
    <row r="116" spans="1:18" x14ac:dyDescent="0.25">
      <c r="A116" t="s">
        <v>1545</v>
      </c>
      <c r="B116" t="s">
        <v>330</v>
      </c>
      <c r="C116">
        <v>26</v>
      </c>
      <c r="D116" t="s">
        <v>346</v>
      </c>
      <c r="F116">
        <v>20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8</v>
      </c>
      <c r="O116" s="2" t="s">
        <v>2390</v>
      </c>
      <c r="P116" s="4">
        <v>692</v>
      </c>
      <c r="Q116" t="s">
        <v>23</v>
      </c>
      <c r="R116" t="str">
        <f>IF(Table3[[#This Row],[Narodowość]]&lt;&gt;"Polska","Tak","Nie")</f>
        <v>Tak</v>
      </c>
    </row>
    <row r="117" spans="1:18" x14ac:dyDescent="0.25">
      <c r="A117" t="s">
        <v>71</v>
      </c>
      <c r="B117" t="s">
        <v>324</v>
      </c>
      <c r="C117">
        <v>30</v>
      </c>
      <c r="D117" t="s">
        <v>333</v>
      </c>
      <c r="F117">
        <v>10</v>
      </c>
      <c r="G117">
        <v>8</v>
      </c>
      <c r="H117">
        <v>1</v>
      </c>
      <c r="I117">
        <v>1</v>
      </c>
      <c r="J117">
        <v>0</v>
      </c>
      <c r="K117">
        <v>0</v>
      </c>
      <c r="L117">
        <v>0</v>
      </c>
      <c r="M117">
        <v>7</v>
      </c>
      <c r="N117">
        <v>0</v>
      </c>
      <c r="O117" s="2" t="s">
        <v>2383</v>
      </c>
      <c r="P117" s="4">
        <v>196</v>
      </c>
      <c r="Q117" t="s">
        <v>317</v>
      </c>
      <c r="R117" t="str">
        <f>IF(Table3[[#This Row],[Narodowość]]&lt;&gt;"Polska","Tak","Nie")</f>
        <v>Tak</v>
      </c>
    </row>
    <row r="118" spans="1:18" x14ac:dyDescent="0.25">
      <c r="A118" t="s">
        <v>1733</v>
      </c>
      <c r="B118" t="s">
        <v>324</v>
      </c>
      <c r="C118">
        <v>34</v>
      </c>
      <c r="D118" t="s">
        <v>333</v>
      </c>
      <c r="F118">
        <v>4</v>
      </c>
      <c r="G118">
        <v>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2</v>
      </c>
      <c r="N118">
        <v>1</v>
      </c>
      <c r="O118" s="2" t="s">
        <v>2314</v>
      </c>
      <c r="P118" s="4">
        <v>85</v>
      </c>
      <c r="Q118" t="s">
        <v>361</v>
      </c>
      <c r="R118" t="str">
        <f>IF(Table3[[#This Row],[Narodowość]]&lt;&gt;"Polska","Tak","Nie")</f>
        <v>Tak</v>
      </c>
    </row>
    <row r="119" spans="1:18" x14ac:dyDescent="0.25">
      <c r="A119" t="s">
        <v>393</v>
      </c>
      <c r="B119" t="s">
        <v>324</v>
      </c>
      <c r="C119">
        <v>29</v>
      </c>
      <c r="D119" t="s">
        <v>333</v>
      </c>
      <c r="F119">
        <v>33</v>
      </c>
      <c r="G119">
        <v>26</v>
      </c>
      <c r="H119">
        <v>1</v>
      </c>
      <c r="I119">
        <v>4</v>
      </c>
      <c r="J119">
        <v>1</v>
      </c>
      <c r="K119">
        <v>0</v>
      </c>
      <c r="L119">
        <v>0</v>
      </c>
      <c r="M119">
        <v>19</v>
      </c>
      <c r="N119">
        <v>6</v>
      </c>
      <c r="O119" s="2" t="s">
        <v>2328</v>
      </c>
      <c r="P119" s="4">
        <v>717</v>
      </c>
      <c r="Q119" t="s">
        <v>334</v>
      </c>
      <c r="R119" t="str">
        <f>IF(Table3[[#This Row],[Narodowość]]&lt;&gt;"Polska","Tak","Nie")</f>
        <v>Tak</v>
      </c>
    </row>
    <row r="120" spans="1:18" x14ac:dyDescent="0.25">
      <c r="A120" t="s">
        <v>58</v>
      </c>
      <c r="B120" t="s">
        <v>0</v>
      </c>
      <c r="C120">
        <v>22</v>
      </c>
      <c r="D120" t="s">
        <v>337</v>
      </c>
      <c r="F120">
        <v>34</v>
      </c>
      <c r="G120">
        <v>14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2" t="s">
        <v>2377</v>
      </c>
      <c r="P120" s="4">
        <v>1260</v>
      </c>
      <c r="Q120" t="s">
        <v>317</v>
      </c>
      <c r="R120" t="str">
        <f>IF(Table3[[#This Row],[Narodowość]]&lt;&gt;"Polska","Tak","Nie")</f>
        <v>Nie</v>
      </c>
    </row>
    <row r="121" spans="1:18" x14ac:dyDescent="0.25">
      <c r="A121" t="s">
        <v>1822</v>
      </c>
      <c r="B121" t="s">
        <v>331</v>
      </c>
      <c r="C121">
        <v>19</v>
      </c>
      <c r="D121" t="s">
        <v>337</v>
      </c>
      <c r="F121">
        <v>15</v>
      </c>
      <c r="G121">
        <v>8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8</v>
      </c>
      <c r="N121">
        <v>0</v>
      </c>
      <c r="O121" s="2" t="s">
        <v>2412</v>
      </c>
      <c r="P121" s="4">
        <v>153</v>
      </c>
      <c r="Q121" t="s">
        <v>340</v>
      </c>
      <c r="R121" t="str">
        <f>IF(Table3[[#This Row],[Narodowość]]&lt;&gt;"Polska","Tak","Nie")</f>
        <v>Nie</v>
      </c>
    </row>
    <row r="122" spans="1:18" x14ac:dyDescent="0.25">
      <c r="A122" t="s">
        <v>48</v>
      </c>
      <c r="B122" t="s">
        <v>357</v>
      </c>
      <c r="C122">
        <v>28</v>
      </c>
      <c r="D122" t="s">
        <v>337</v>
      </c>
      <c r="E122" t="s">
        <v>347</v>
      </c>
      <c r="F122">
        <v>29</v>
      </c>
      <c r="G122">
        <v>19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6</v>
      </c>
      <c r="N122">
        <v>6</v>
      </c>
      <c r="O122" s="2" t="s">
        <v>2442</v>
      </c>
      <c r="P122" s="4">
        <v>1136</v>
      </c>
      <c r="Q122" t="s">
        <v>348</v>
      </c>
      <c r="R122" t="str">
        <f>IF(Table3[[#This Row],[Narodowość]]&lt;&gt;"Polska","Tak","Nie")</f>
        <v>Nie</v>
      </c>
    </row>
    <row r="123" spans="1:18" x14ac:dyDescent="0.25">
      <c r="A123" t="s">
        <v>1964</v>
      </c>
      <c r="B123" t="s">
        <v>382</v>
      </c>
      <c r="C123">
        <v>25</v>
      </c>
      <c r="D123" t="s">
        <v>558</v>
      </c>
      <c r="F123">
        <v>9</v>
      </c>
      <c r="G123">
        <v>4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1</v>
      </c>
      <c r="N123">
        <v>1</v>
      </c>
      <c r="O123" s="2" t="s">
        <v>2279</v>
      </c>
      <c r="P123" s="4">
        <v>234</v>
      </c>
      <c r="Q123" t="s">
        <v>345</v>
      </c>
      <c r="R123" t="str">
        <f>IF(Table3[[#This Row],[Narodowość]]&lt;&gt;"Polska","Tak","Nie")</f>
        <v>Tak</v>
      </c>
    </row>
    <row r="124" spans="1:18" x14ac:dyDescent="0.25">
      <c r="A124" t="s">
        <v>469</v>
      </c>
      <c r="B124" t="s">
        <v>331</v>
      </c>
      <c r="C124">
        <v>30</v>
      </c>
      <c r="D124" t="s">
        <v>337</v>
      </c>
      <c r="F124">
        <v>14</v>
      </c>
      <c r="G124">
        <v>12</v>
      </c>
      <c r="H124">
        <v>0</v>
      </c>
      <c r="I124">
        <v>2</v>
      </c>
      <c r="J124">
        <v>3</v>
      </c>
      <c r="K124">
        <v>0</v>
      </c>
      <c r="L124">
        <v>0</v>
      </c>
      <c r="M124">
        <v>2</v>
      </c>
      <c r="N124">
        <v>6</v>
      </c>
      <c r="O124" s="2" t="s">
        <v>2279</v>
      </c>
      <c r="P124" s="4">
        <v>873</v>
      </c>
      <c r="Q124" t="s">
        <v>315</v>
      </c>
      <c r="R124" t="str">
        <f>IF(Table3[[#This Row],[Narodowość]]&lt;&gt;"Polska","Tak","Nie")</f>
        <v>Nie</v>
      </c>
    </row>
    <row r="125" spans="1:18" x14ac:dyDescent="0.25">
      <c r="A125" t="s">
        <v>2107</v>
      </c>
      <c r="B125" t="s">
        <v>328</v>
      </c>
      <c r="C125">
        <v>19</v>
      </c>
      <c r="D125" t="s">
        <v>337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2">
        <v>0</v>
      </c>
      <c r="P125" s="4">
        <v>0</v>
      </c>
      <c r="Q125" t="s">
        <v>316</v>
      </c>
      <c r="R125" t="str">
        <f>IF(Table3[[#This Row],[Narodowość]]&lt;&gt;"Polska","Tak","Nie")</f>
        <v>Nie</v>
      </c>
    </row>
    <row r="126" spans="1:18" x14ac:dyDescent="0.25">
      <c r="A126" t="s">
        <v>903</v>
      </c>
      <c r="B126" t="s">
        <v>328</v>
      </c>
      <c r="C126">
        <v>18</v>
      </c>
      <c r="D126" t="s">
        <v>337</v>
      </c>
      <c r="F126">
        <v>19</v>
      </c>
      <c r="G126">
        <v>14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12</v>
      </c>
      <c r="N126">
        <v>2</v>
      </c>
      <c r="O126" s="2" t="s">
        <v>2347</v>
      </c>
      <c r="P126" s="4">
        <v>272</v>
      </c>
      <c r="Q126" t="s">
        <v>332</v>
      </c>
      <c r="R126" t="str">
        <f>IF(Table3[[#This Row],[Narodowość]]&lt;&gt;"Polska","Tak","Nie")</f>
        <v>Nie</v>
      </c>
    </row>
    <row r="127" spans="1:18" x14ac:dyDescent="0.25">
      <c r="A127" t="s">
        <v>903</v>
      </c>
      <c r="B127" t="s">
        <v>328</v>
      </c>
      <c r="C127">
        <v>18</v>
      </c>
      <c r="D127" t="s">
        <v>337</v>
      </c>
      <c r="F127">
        <v>12</v>
      </c>
      <c r="G127">
        <v>5</v>
      </c>
      <c r="H127">
        <v>0</v>
      </c>
      <c r="I127">
        <v>0</v>
      </c>
      <c r="J127">
        <v>2</v>
      </c>
      <c r="K127">
        <v>0</v>
      </c>
      <c r="L127">
        <v>0</v>
      </c>
      <c r="M127">
        <v>3</v>
      </c>
      <c r="N127">
        <v>2</v>
      </c>
      <c r="O127" s="2" t="s">
        <v>2280</v>
      </c>
      <c r="P127" s="4">
        <v>182</v>
      </c>
      <c r="Q127" t="s">
        <v>349</v>
      </c>
      <c r="R127" t="str">
        <f>IF(Table3[[#This Row],[Narodowość]]&lt;&gt;"Polska","Tak","Nie")</f>
        <v>Nie</v>
      </c>
    </row>
    <row r="128" spans="1:18" x14ac:dyDescent="0.25">
      <c r="A128" t="s">
        <v>157</v>
      </c>
      <c r="B128" t="s">
        <v>0</v>
      </c>
      <c r="C128">
        <v>30</v>
      </c>
      <c r="D128" t="s">
        <v>364</v>
      </c>
      <c r="F128">
        <v>34</v>
      </c>
      <c r="G128">
        <v>34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2" t="s">
        <v>2348</v>
      </c>
      <c r="P128" s="4">
        <v>3060</v>
      </c>
      <c r="Q128" t="s">
        <v>341</v>
      </c>
      <c r="R128" t="str">
        <f>IF(Table3[[#This Row],[Narodowość]]&lt;&gt;"Polska","Tak","Nie")</f>
        <v>Tak</v>
      </c>
    </row>
    <row r="129" spans="1:18" x14ac:dyDescent="0.25">
      <c r="A129" t="s">
        <v>982</v>
      </c>
      <c r="B129" t="s">
        <v>0</v>
      </c>
      <c r="C129">
        <v>21</v>
      </c>
      <c r="D129" t="s">
        <v>337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2">
        <v>0</v>
      </c>
      <c r="P129" s="4">
        <v>0</v>
      </c>
      <c r="Q129" t="s">
        <v>341</v>
      </c>
      <c r="R129" t="str">
        <f>IF(Table3[[#This Row],[Narodowość]]&lt;&gt;"Polska","Tak","Nie")</f>
        <v>Nie</v>
      </c>
    </row>
    <row r="130" spans="1:18" x14ac:dyDescent="0.25">
      <c r="A130" t="s">
        <v>411</v>
      </c>
      <c r="B130" t="s">
        <v>376</v>
      </c>
      <c r="C130">
        <v>22</v>
      </c>
      <c r="D130" t="s">
        <v>337</v>
      </c>
      <c r="F130">
        <v>30</v>
      </c>
      <c r="G130">
        <v>17</v>
      </c>
      <c r="H130">
        <v>1</v>
      </c>
      <c r="I130">
        <v>3</v>
      </c>
      <c r="J130">
        <v>2</v>
      </c>
      <c r="K130">
        <v>0</v>
      </c>
      <c r="L130">
        <v>0</v>
      </c>
      <c r="M130">
        <v>9</v>
      </c>
      <c r="N130">
        <v>1</v>
      </c>
      <c r="O130" s="2" t="s">
        <v>2395</v>
      </c>
      <c r="P130" s="4">
        <v>855</v>
      </c>
      <c r="Q130" t="s">
        <v>317</v>
      </c>
      <c r="R130" t="str">
        <f>IF(Table3[[#This Row],[Narodowość]]&lt;&gt;"Polska","Tak","Nie")</f>
        <v>Nie</v>
      </c>
    </row>
    <row r="131" spans="1:18" x14ac:dyDescent="0.25">
      <c r="A131" t="s">
        <v>68</v>
      </c>
      <c r="B131" t="s">
        <v>324</v>
      </c>
      <c r="C131">
        <v>15</v>
      </c>
      <c r="D131" t="s">
        <v>337</v>
      </c>
      <c r="F131">
        <v>18</v>
      </c>
      <c r="G131">
        <v>17</v>
      </c>
      <c r="H131">
        <v>0</v>
      </c>
      <c r="I131">
        <v>1</v>
      </c>
      <c r="J131">
        <v>2</v>
      </c>
      <c r="K131">
        <v>0</v>
      </c>
      <c r="L131">
        <v>0</v>
      </c>
      <c r="M131">
        <v>14</v>
      </c>
      <c r="N131">
        <v>3</v>
      </c>
      <c r="O131" s="2" t="s">
        <v>2372</v>
      </c>
      <c r="P131" s="4">
        <v>446</v>
      </c>
      <c r="Q131" t="s">
        <v>317</v>
      </c>
      <c r="R131" t="str">
        <f>IF(Table3[[#This Row],[Narodowość]]&lt;&gt;"Polska","Tak","Nie")</f>
        <v>Nie</v>
      </c>
    </row>
    <row r="132" spans="1:18" x14ac:dyDescent="0.25">
      <c r="A132" t="s">
        <v>3</v>
      </c>
      <c r="B132" t="s">
        <v>382</v>
      </c>
      <c r="C132">
        <v>24</v>
      </c>
      <c r="D132" t="s">
        <v>453</v>
      </c>
      <c r="E132" t="s">
        <v>400</v>
      </c>
      <c r="F132">
        <v>14</v>
      </c>
      <c r="G132">
        <v>8</v>
      </c>
      <c r="H132">
        <v>0</v>
      </c>
      <c r="I132">
        <v>0</v>
      </c>
      <c r="J132">
        <v>4</v>
      </c>
      <c r="K132">
        <v>0</v>
      </c>
      <c r="L132">
        <v>0</v>
      </c>
      <c r="M132">
        <v>2</v>
      </c>
      <c r="N132">
        <v>2</v>
      </c>
      <c r="O132" s="2" t="s">
        <v>2412</v>
      </c>
      <c r="P132" s="4">
        <v>524</v>
      </c>
      <c r="Q132" t="s">
        <v>316</v>
      </c>
      <c r="R132" t="str">
        <f>IF(Table3[[#This Row],[Narodowość]]&lt;&gt;"Polska","Tak","Nie")</f>
        <v>Tak</v>
      </c>
    </row>
    <row r="133" spans="1:18" x14ac:dyDescent="0.25">
      <c r="A133" t="s">
        <v>27</v>
      </c>
      <c r="B133" t="s">
        <v>382</v>
      </c>
      <c r="C133">
        <v>29</v>
      </c>
      <c r="D133" t="s">
        <v>362</v>
      </c>
      <c r="F133">
        <v>11</v>
      </c>
      <c r="G133">
        <v>7</v>
      </c>
      <c r="H133">
        <v>0</v>
      </c>
      <c r="I133">
        <v>0</v>
      </c>
      <c r="J133">
        <v>3</v>
      </c>
      <c r="K133">
        <v>0</v>
      </c>
      <c r="L133">
        <v>0</v>
      </c>
      <c r="M133">
        <v>0</v>
      </c>
      <c r="N133">
        <v>1</v>
      </c>
      <c r="O133" s="2" t="s">
        <v>2357</v>
      </c>
      <c r="P133" s="4">
        <v>586</v>
      </c>
      <c r="Q133" t="s">
        <v>23</v>
      </c>
      <c r="R133" t="str">
        <f>IF(Table3[[#This Row],[Narodowość]]&lt;&gt;"Polska","Tak","Nie")</f>
        <v>Tak</v>
      </c>
    </row>
    <row r="134" spans="1:18" x14ac:dyDescent="0.25">
      <c r="A134" t="s">
        <v>214</v>
      </c>
      <c r="B134" t="s">
        <v>330</v>
      </c>
      <c r="C134">
        <v>18</v>
      </c>
      <c r="D134" t="s">
        <v>337</v>
      </c>
      <c r="E134" t="s">
        <v>1902</v>
      </c>
      <c r="F134">
        <v>3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</v>
      </c>
      <c r="O134" s="2" t="s">
        <v>2291</v>
      </c>
      <c r="P134" s="4">
        <v>12</v>
      </c>
      <c r="Q134" t="s">
        <v>319</v>
      </c>
      <c r="R134" t="str">
        <f>IF(Table3[[#This Row],[Narodowość]]&lt;&gt;"Polska","Tak","Nie")</f>
        <v>Nie</v>
      </c>
    </row>
    <row r="135" spans="1:18" x14ac:dyDescent="0.25">
      <c r="A135" t="s">
        <v>109</v>
      </c>
      <c r="B135" t="s">
        <v>376</v>
      </c>
      <c r="C135">
        <v>27</v>
      </c>
      <c r="D135" t="s">
        <v>384</v>
      </c>
      <c r="F135">
        <v>8</v>
      </c>
      <c r="G135">
        <v>5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2</v>
      </c>
      <c r="O135" s="2" t="s">
        <v>2323</v>
      </c>
      <c r="P135" s="4">
        <v>432</v>
      </c>
      <c r="Q135" t="s">
        <v>338</v>
      </c>
      <c r="R135" t="str">
        <f>IF(Table3[[#This Row],[Narodowość]]&lt;&gt;"Polska","Tak","Nie")</f>
        <v>Tak</v>
      </c>
    </row>
    <row r="136" spans="1:18" x14ac:dyDescent="0.25">
      <c r="A136" t="s">
        <v>901</v>
      </c>
      <c r="B136" t="s">
        <v>324</v>
      </c>
      <c r="C136">
        <v>23</v>
      </c>
      <c r="D136" t="s">
        <v>342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4">
        <v>0</v>
      </c>
      <c r="Q136" t="s">
        <v>332</v>
      </c>
      <c r="R136" t="str">
        <f>IF(Table3[[#This Row],[Narodowość]]&lt;&gt;"Polska","Tak","Nie")</f>
        <v>Tak</v>
      </c>
    </row>
    <row r="137" spans="1:18" x14ac:dyDescent="0.25">
      <c r="A137" t="s">
        <v>1455</v>
      </c>
      <c r="B137" t="s">
        <v>325</v>
      </c>
      <c r="C137">
        <v>19</v>
      </c>
      <c r="D137" t="s">
        <v>532</v>
      </c>
      <c r="F137">
        <v>8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0</v>
      </c>
      <c r="O137" s="2" t="s">
        <v>2291</v>
      </c>
      <c r="P137" s="4">
        <v>3</v>
      </c>
      <c r="Q137" t="s">
        <v>317</v>
      </c>
      <c r="R137" t="str">
        <f>IF(Table3[[#This Row],[Narodowość]]&lt;&gt;"Polska","Tak","Nie")</f>
        <v>Tak</v>
      </c>
    </row>
    <row r="138" spans="1:18" x14ac:dyDescent="0.25">
      <c r="A138" t="s">
        <v>173</v>
      </c>
      <c r="B138" t="s">
        <v>357</v>
      </c>
      <c r="C138">
        <v>30</v>
      </c>
      <c r="D138" t="s">
        <v>337</v>
      </c>
      <c r="F138">
        <v>34</v>
      </c>
      <c r="G138">
        <v>34</v>
      </c>
      <c r="H138">
        <v>4</v>
      </c>
      <c r="I138">
        <v>4</v>
      </c>
      <c r="J138">
        <v>3</v>
      </c>
      <c r="K138">
        <v>0</v>
      </c>
      <c r="L138">
        <v>0</v>
      </c>
      <c r="M138">
        <v>0</v>
      </c>
      <c r="N138">
        <v>1</v>
      </c>
      <c r="O138" s="2" t="s">
        <v>2355</v>
      </c>
      <c r="P138" s="4">
        <v>3039</v>
      </c>
      <c r="Q138" t="s">
        <v>315</v>
      </c>
      <c r="R138" t="str">
        <f>IF(Table3[[#This Row],[Narodowość]]&lt;&gt;"Polska","Tak","Nie")</f>
        <v>Nie</v>
      </c>
    </row>
    <row r="139" spans="1:18" x14ac:dyDescent="0.25">
      <c r="A139" t="s">
        <v>1284</v>
      </c>
      <c r="B139" t="s">
        <v>328</v>
      </c>
      <c r="C139">
        <v>18</v>
      </c>
      <c r="D139" t="s">
        <v>337</v>
      </c>
      <c r="F139">
        <v>13</v>
      </c>
      <c r="G139">
        <v>11</v>
      </c>
      <c r="H139">
        <v>0</v>
      </c>
      <c r="I139">
        <v>0</v>
      </c>
      <c r="J139">
        <v>2</v>
      </c>
      <c r="K139">
        <v>0</v>
      </c>
      <c r="L139">
        <v>0</v>
      </c>
      <c r="M139">
        <v>4</v>
      </c>
      <c r="N139">
        <v>5</v>
      </c>
      <c r="O139" s="2" t="s">
        <v>2282</v>
      </c>
      <c r="P139" s="4">
        <v>600</v>
      </c>
      <c r="Q139" t="s">
        <v>339</v>
      </c>
      <c r="R139" t="str">
        <f>IF(Table3[[#This Row],[Narodowość]]&lt;&gt;"Polska","Tak","Nie")</f>
        <v>Nie</v>
      </c>
    </row>
    <row r="140" spans="1:18" x14ac:dyDescent="0.25">
      <c r="A140" t="s">
        <v>1284</v>
      </c>
      <c r="B140" t="s">
        <v>328</v>
      </c>
      <c r="C140">
        <v>18</v>
      </c>
      <c r="D140" t="s">
        <v>337</v>
      </c>
      <c r="F140">
        <v>15</v>
      </c>
      <c r="G140">
        <v>13</v>
      </c>
      <c r="H140">
        <v>0</v>
      </c>
      <c r="I140">
        <v>0</v>
      </c>
      <c r="J140">
        <v>2</v>
      </c>
      <c r="K140">
        <v>0</v>
      </c>
      <c r="L140">
        <v>0</v>
      </c>
      <c r="M140">
        <v>5</v>
      </c>
      <c r="N140">
        <v>8</v>
      </c>
      <c r="O140" s="2" t="s">
        <v>2381</v>
      </c>
      <c r="P140" s="4">
        <v>672</v>
      </c>
      <c r="Q140" t="s">
        <v>316</v>
      </c>
      <c r="R140" t="str">
        <f>IF(Table3[[#This Row],[Narodowość]]&lt;&gt;"Polska","Tak","Nie")</f>
        <v>Nie</v>
      </c>
    </row>
    <row r="141" spans="1:18" x14ac:dyDescent="0.25">
      <c r="A141" t="s">
        <v>211</v>
      </c>
      <c r="B141" t="s">
        <v>324</v>
      </c>
      <c r="C141">
        <v>26</v>
      </c>
      <c r="D141" t="s">
        <v>337</v>
      </c>
      <c r="F141">
        <v>23</v>
      </c>
      <c r="G141">
        <v>13</v>
      </c>
      <c r="H141">
        <v>0</v>
      </c>
      <c r="I141">
        <v>1</v>
      </c>
      <c r="J141">
        <v>2</v>
      </c>
      <c r="K141">
        <v>0</v>
      </c>
      <c r="L141">
        <v>0</v>
      </c>
      <c r="M141">
        <v>9</v>
      </c>
      <c r="N141">
        <v>4</v>
      </c>
      <c r="O141" s="2" t="s">
        <v>2307</v>
      </c>
      <c r="P141" s="4">
        <v>374</v>
      </c>
      <c r="Q141" t="s">
        <v>319</v>
      </c>
      <c r="R141" t="str">
        <f>IF(Table3[[#This Row],[Narodowość]]&lt;&gt;"Polska","Tak","Nie")</f>
        <v>Nie</v>
      </c>
    </row>
    <row r="142" spans="1:18" x14ac:dyDescent="0.25">
      <c r="A142" t="s">
        <v>105</v>
      </c>
      <c r="B142" t="s">
        <v>325</v>
      </c>
      <c r="C142">
        <v>24</v>
      </c>
      <c r="D142" t="s">
        <v>337</v>
      </c>
      <c r="F142">
        <v>14</v>
      </c>
      <c r="G142">
        <v>14</v>
      </c>
      <c r="H142">
        <v>4</v>
      </c>
      <c r="I142">
        <v>2</v>
      </c>
      <c r="J142">
        <v>4</v>
      </c>
      <c r="K142">
        <v>0</v>
      </c>
      <c r="L142">
        <v>0</v>
      </c>
      <c r="M142">
        <v>8</v>
      </c>
      <c r="N142">
        <v>2</v>
      </c>
      <c r="O142" s="2" t="s">
        <v>2330</v>
      </c>
      <c r="P142" s="4">
        <v>736</v>
      </c>
      <c r="Q142" t="s">
        <v>334</v>
      </c>
      <c r="R142" t="str">
        <f>IF(Table3[[#This Row],[Narodowość]]&lt;&gt;"Polska","Tak","Nie")</f>
        <v>Nie</v>
      </c>
    </row>
    <row r="143" spans="1:18" x14ac:dyDescent="0.25">
      <c r="A143" t="s">
        <v>1266</v>
      </c>
      <c r="B143" t="s">
        <v>324</v>
      </c>
      <c r="C143">
        <v>19</v>
      </c>
      <c r="D143" t="s">
        <v>337</v>
      </c>
      <c r="F143">
        <v>1</v>
      </c>
      <c r="G143">
        <v>1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1</v>
      </c>
      <c r="N143">
        <v>0</v>
      </c>
      <c r="O143" s="2" t="s">
        <v>2296</v>
      </c>
      <c r="P143" s="4">
        <v>13</v>
      </c>
      <c r="Q143" t="s">
        <v>339</v>
      </c>
      <c r="R143" t="str">
        <f>IF(Table3[[#This Row],[Narodowość]]&lt;&gt;"Polska","Tak","Nie")</f>
        <v>Nie</v>
      </c>
    </row>
    <row r="144" spans="1:18" x14ac:dyDescent="0.25">
      <c r="A144" t="s">
        <v>1297</v>
      </c>
      <c r="B144" t="s">
        <v>324</v>
      </c>
      <c r="C144">
        <v>19</v>
      </c>
      <c r="D144" t="s">
        <v>337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2">
        <v>0</v>
      </c>
      <c r="P144" s="4">
        <v>0</v>
      </c>
      <c r="Q144" t="s">
        <v>315</v>
      </c>
      <c r="R144" t="str">
        <f>IF(Table3[[#This Row],[Narodowość]]&lt;&gt;"Polska","Tak","Nie")</f>
        <v>Nie</v>
      </c>
    </row>
    <row r="145" spans="1:18" x14ac:dyDescent="0.25">
      <c r="A145" t="s">
        <v>295</v>
      </c>
      <c r="B145" t="s">
        <v>331</v>
      </c>
      <c r="C145">
        <v>22</v>
      </c>
      <c r="D145" t="s">
        <v>337</v>
      </c>
      <c r="F145">
        <v>12</v>
      </c>
      <c r="G145">
        <v>10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7</v>
      </c>
      <c r="N145">
        <v>3</v>
      </c>
      <c r="O145" s="2" t="s">
        <v>2399</v>
      </c>
      <c r="P145" s="4">
        <v>378</v>
      </c>
      <c r="Q145" t="s">
        <v>340</v>
      </c>
      <c r="R145" t="str">
        <f>IF(Table3[[#This Row],[Narodowość]]&lt;&gt;"Polska","Tak","Nie")</f>
        <v>Nie</v>
      </c>
    </row>
    <row r="146" spans="1:18" x14ac:dyDescent="0.25">
      <c r="A146" t="s">
        <v>1003</v>
      </c>
      <c r="B146" t="s">
        <v>376</v>
      </c>
      <c r="C146">
        <v>19</v>
      </c>
      <c r="D146" t="s">
        <v>337</v>
      </c>
      <c r="E146" t="s">
        <v>1005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2">
        <v>0</v>
      </c>
      <c r="P146" s="4">
        <v>0</v>
      </c>
      <c r="Q146" t="s">
        <v>341</v>
      </c>
      <c r="R146" t="str">
        <f>IF(Table3[[#This Row],[Narodowość]]&lt;&gt;"Polska","Tak","Nie")</f>
        <v>Nie</v>
      </c>
    </row>
    <row r="147" spans="1:18" x14ac:dyDescent="0.25">
      <c r="A147" t="s">
        <v>261</v>
      </c>
      <c r="B147" t="s">
        <v>376</v>
      </c>
      <c r="C147">
        <v>20</v>
      </c>
      <c r="D147" t="s">
        <v>337</v>
      </c>
      <c r="F147">
        <v>31</v>
      </c>
      <c r="G147">
        <v>12</v>
      </c>
      <c r="H147">
        <v>0</v>
      </c>
      <c r="I147">
        <v>0</v>
      </c>
      <c r="J147">
        <v>2</v>
      </c>
      <c r="K147">
        <v>0</v>
      </c>
      <c r="L147">
        <v>0</v>
      </c>
      <c r="M147">
        <v>6</v>
      </c>
      <c r="N147">
        <v>2</v>
      </c>
      <c r="O147" s="2" t="s">
        <v>2402</v>
      </c>
      <c r="P147" s="4">
        <v>589</v>
      </c>
      <c r="Q147" t="s">
        <v>383</v>
      </c>
      <c r="R147" t="str">
        <f>IF(Table3[[#This Row],[Narodowość]]&lt;&gt;"Polska","Tak","Nie")</f>
        <v>Nie</v>
      </c>
    </row>
    <row r="148" spans="1:18" x14ac:dyDescent="0.25">
      <c r="A148" t="s">
        <v>247</v>
      </c>
      <c r="B148" t="s">
        <v>382</v>
      </c>
      <c r="C148">
        <v>25</v>
      </c>
      <c r="D148" t="s">
        <v>337</v>
      </c>
      <c r="F148">
        <v>21</v>
      </c>
      <c r="G148">
        <v>20</v>
      </c>
      <c r="H148">
        <v>2</v>
      </c>
      <c r="I148">
        <v>1</v>
      </c>
      <c r="J148">
        <v>2</v>
      </c>
      <c r="K148">
        <v>0</v>
      </c>
      <c r="L148">
        <v>0</v>
      </c>
      <c r="M148">
        <v>1</v>
      </c>
      <c r="N148">
        <v>3</v>
      </c>
      <c r="O148" s="2" t="s">
        <v>2373</v>
      </c>
      <c r="P148" s="4">
        <v>1678</v>
      </c>
      <c r="Q148" t="s">
        <v>349</v>
      </c>
      <c r="R148" t="str">
        <f>IF(Table3[[#This Row],[Narodowość]]&lt;&gt;"Polska","Tak","Nie")</f>
        <v>Nie</v>
      </c>
    </row>
    <row r="149" spans="1:18" x14ac:dyDescent="0.25">
      <c r="A149" t="s">
        <v>57</v>
      </c>
      <c r="B149" t="s">
        <v>324</v>
      </c>
      <c r="C149">
        <v>16</v>
      </c>
      <c r="D149" t="s">
        <v>337</v>
      </c>
      <c r="F149">
        <v>3</v>
      </c>
      <c r="G149">
        <v>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2</v>
      </c>
      <c r="N149">
        <v>0</v>
      </c>
      <c r="O149" s="2" t="s">
        <v>2291</v>
      </c>
      <c r="P149" s="4">
        <v>8</v>
      </c>
      <c r="Q149" t="s">
        <v>348</v>
      </c>
      <c r="R149" t="str">
        <f>IF(Table3[[#This Row],[Narodowość]]&lt;&gt;"Polska","Tak","Nie")</f>
        <v>Nie</v>
      </c>
    </row>
    <row r="150" spans="1:18" x14ac:dyDescent="0.25">
      <c r="A150" t="s">
        <v>198</v>
      </c>
      <c r="B150" t="s">
        <v>352</v>
      </c>
      <c r="C150">
        <v>23</v>
      </c>
      <c r="D150" t="s">
        <v>366</v>
      </c>
      <c r="F150">
        <v>12</v>
      </c>
      <c r="G150">
        <v>9</v>
      </c>
      <c r="H150">
        <v>1</v>
      </c>
      <c r="I150">
        <v>1</v>
      </c>
      <c r="J150">
        <v>1</v>
      </c>
      <c r="K150">
        <v>0</v>
      </c>
      <c r="L150">
        <v>0</v>
      </c>
      <c r="M150">
        <v>1</v>
      </c>
      <c r="N150">
        <v>2</v>
      </c>
      <c r="O150" s="2" t="s">
        <v>2339</v>
      </c>
      <c r="P150" s="4">
        <v>723</v>
      </c>
      <c r="Q150" t="s">
        <v>332</v>
      </c>
      <c r="R150" t="str">
        <f>IF(Table3[[#This Row],[Narodowość]]&lt;&gt;"Polska","Tak","Nie")</f>
        <v>Tak</v>
      </c>
    </row>
    <row r="151" spans="1:18" x14ac:dyDescent="0.25">
      <c r="A151" t="s">
        <v>230</v>
      </c>
      <c r="B151" t="s">
        <v>326</v>
      </c>
      <c r="C151">
        <v>21</v>
      </c>
      <c r="D151" t="s">
        <v>347</v>
      </c>
      <c r="E151" t="s">
        <v>337</v>
      </c>
      <c r="F151">
        <v>15</v>
      </c>
      <c r="G151">
        <v>15</v>
      </c>
      <c r="H151">
        <v>1</v>
      </c>
      <c r="I151">
        <v>2</v>
      </c>
      <c r="J151">
        <v>3</v>
      </c>
      <c r="K151">
        <v>0</v>
      </c>
      <c r="L151">
        <v>0</v>
      </c>
      <c r="M151">
        <v>6</v>
      </c>
      <c r="N151">
        <v>6</v>
      </c>
      <c r="O151" s="2" t="s">
        <v>2433</v>
      </c>
      <c r="P151" s="4">
        <v>780</v>
      </c>
      <c r="Q151" t="s">
        <v>345</v>
      </c>
      <c r="R151" t="str">
        <f>IF(Table3[[#This Row],[Narodowość]]&lt;&gt;"Polska","Tak","Nie")</f>
        <v>Tak</v>
      </c>
    </row>
    <row r="152" spans="1:18" x14ac:dyDescent="0.25">
      <c r="A152" t="s">
        <v>80</v>
      </c>
      <c r="B152" t="s">
        <v>326</v>
      </c>
      <c r="C152">
        <v>23</v>
      </c>
      <c r="D152" t="s">
        <v>370</v>
      </c>
      <c r="F152">
        <v>8</v>
      </c>
      <c r="G152">
        <v>8</v>
      </c>
      <c r="H152">
        <v>2</v>
      </c>
      <c r="I152">
        <v>1</v>
      </c>
      <c r="J152">
        <v>1</v>
      </c>
      <c r="K152">
        <v>0</v>
      </c>
      <c r="L152">
        <v>0</v>
      </c>
      <c r="M152">
        <v>0</v>
      </c>
      <c r="N152">
        <v>4</v>
      </c>
      <c r="O152" s="2" t="s">
        <v>2376</v>
      </c>
      <c r="P152" s="4">
        <v>641</v>
      </c>
      <c r="Q152" t="s">
        <v>361</v>
      </c>
      <c r="R152" t="str">
        <f>IF(Table3[[#This Row],[Narodowość]]&lt;&gt;"Polska","Tak","Nie")</f>
        <v>Tak</v>
      </c>
    </row>
    <row r="153" spans="1:18" x14ac:dyDescent="0.25">
      <c r="A153" t="s">
        <v>225</v>
      </c>
      <c r="B153" t="s">
        <v>357</v>
      </c>
      <c r="C153">
        <v>30</v>
      </c>
      <c r="D153" t="s">
        <v>364</v>
      </c>
      <c r="F153">
        <v>32</v>
      </c>
      <c r="G153">
        <v>23</v>
      </c>
      <c r="H153">
        <v>1</v>
      </c>
      <c r="I153">
        <v>5</v>
      </c>
      <c r="J153">
        <v>3</v>
      </c>
      <c r="K153">
        <v>0</v>
      </c>
      <c r="L153">
        <v>0</v>
      </c>
      <c r="M153">
        <v>4</v>
      </c>
      <c r="N153">
        <v>9</v>
      </c>
      <c r="O153" s="2" t="s">
        <v>2424</v>
      </c>
      <c r="P153" s="4">
        <v>1583</v>
      </c>
      <c r="Q153" t="s">
        <v>345</v>
      </c>
      <c r="R153" t="str">
        <f>IF(Table3[[#This Row],[Narodowość]]&lt;&gt;"Polska","Tak","Nie")</f>
        <v>Tak</v>
      </c>
    </row>
    <row r="154" spans="1:18" x14ac:dyDescent="0.25">
      <c r="A154" t="s">
        <v>226</v>
      </c>
      <c r="B154" t="s">
        <v>382</v>
      </c>
      <c r="C154">
        <v>24</v>
      </c>
      <c r="D154" t="s">
        <v>336</v>
      </c>
      <c r="F154">
        <v>29</v>
      </c>
      <c r="G154">
        <v>22</v>
      </c>
      <c r="H154">
        <v>1</v>
      </c>
      <c r="I154">
        <v>1</v>
      </c>
      <c r="J154">
        <v>5</v>
      </c>
      <c r="K154">
        <v>0</v>
      </c>
      <c r="L154">
        <v>0</v>
      </c>
      <c r="M154">
        <v>3</v>
      </c>
      <c r="N154">
        <v>2</v>
      </c>
      <c r="O154" s="2" t="s">
        <v>2301</v>
      </c>
      <c r="P154" s="4">
        <v>1721</v>
      </c>
      <c r="Q154" t="s">
        <v>345</v>
      </c>
      <c r="R154" t="str">
        <f>IF(Table3[[#This Row],[Narodowość]]&lt;&gt;"Polska","Tak","Nie")</f>
        <v>Tak</v>
      </c>
    </row>
    <row r="155" spans="1:18" x14ac:dyDescent="0.25">
      <c r="A155" t="s">
        <v>273</v>
      </c>
      <c r="B155" t="s">
        <v>330</v>
      </c>
      <c r="C155">
        <v>28</v>
      </c>
      <c r="D155" t="s">
        <v>337</v>
      </c>
      <c r="F155">
        <v>28</v>
      </c>
      <c r="G155">
        <v>25</v>
      </c>
      <c r="H155">
        <v>0</v>
      </c>
      <c r="I155">
        <v>3</v>
      </c>
      <c r="J155">
        <v>5</v>
      </c>
      <c r="K155">
        <v>1</v>
      </c>
      <c r="L155">
        <v>1</v>
      </c>
      <c r="M155">
        <v>8</v>
      </c>
      <c r="N155">
        <v>10</v>
      </c>
      <c r="O155" s="2" t="s">
        <v>2385</v>
      </c>
      <c r="P155" s="4">
        <v>1562</v>
      </c>
      <c r="Q155" t="s">
        <v>339</v>
      </c>
      <c r="R155" t="str">
        <f>IF(Table3[[#This Row],[Narodowość]]&lt;&gt;"Polska","Tak","Nie")</f>
        <v>Nie</v>
      </c>
    </row>
    <row r="156" spans="1:18" x14ac:dyDescent="0.25">
      <c r="A156" t="s">
        <v>1772</v>
      </c>
      <c r="B156" t="s">
        <v>0</v>
      </c>
      <c r="C156">
        <v>25</v>
      </c>
      <c r="D156" t="s">
        <v>337</v>
      </c>
      <c r="F156">
        <v>29</v>
      </c>
      <c r="G156">
        <v>23</v>
      </c>
      <c r="H156">
        <v>0</v>
      </c>
      <c r="I156">
        <v>0</v>
      </c>
      <c r="J156">
        <v>2</v>
      </c>
      <c r="K156">
        <v>0</v>
      </c>
      <c r="L156">
        <v>0</v>
      </c>
      <c r="M156">
        <v>0</v>
      </c>
      <c r="N156">
        <v>0</v>
      </c>
      <c r="O156" s="2" t="s">
        <v>2419</v>
      </c>
      <c r="P156" s="4">
        <v>2070</v>
      </c>
      <c r="Q156" t="s">
        <v>340</v>
      </c>
      <c r="R156" t="str">
        <f>IF(Table3[[#This Row],[Narodowość]]&lt;&gt;"Polska","Tak","Nie")</f>
        <v>Nie</v>
      </c>
    </row>
    <row r="157" spans="1:18" x14ac:dyDescent="0.25">
      <c r="A157" t="s">
        <v>2039</v>
      </c>
      <c r="B157" t="s">
        <v>0</v>
      </c>
      <c r="C157">
        <v>25</v>
      </c>
      <c r="D157" t="s">
        <v>337</v>
      </c>
      <c r="F157">
        <v>2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2">
        <v>0</v>
      </c>
      <c r="P157" s="4">
        <v>0</v>
      </c>
      <c r="Q157" t="s">
        <v>316</v>
      </c>
      <c r="R157" t="str">
        <f>IF(Table3[[#This Row],[Narodowość]]&lt;&gt;"Polska","Tak","Nie")</f>
        <v>Nie</v>
      </c>
    </row>
    <row r="158" spans="1:18" x14ac:dyDescent="0.25">
      <c r="A158" t="s">
        <v>485</v>
      </c>
      <c r="B158" t="s">
        <v>325</v>
      </c>
      <c r="C158">
        <v>22</v>
      </c>
      <c r="D158" t="s">
        <v>337</v>
      </c>
      <c r="F158">
        <v>30</v>
      </c>
      <c r="G158">
        <v>22</v>
      </c>
      <c r="H158">
        <v>1</v>
      </c>
      <c r="I158">
        <v>0</v>
      </c>
      <c r="J158">
        <v>2</v>
      </c>
      <c r="K158">
        <v>0</v>
      </c>
      <c r="L158">
        <v>0</v>
      </c>
      <c r="M158">
        <v>22</v>
      </c>
      <c r="N158">
        <v>0</v>
      </c>
      <c r="O158" s="2" t="s">
        <v>2390</v>
      </c>
      <c r="P158" s="4">
        <v>215</v>
      </c>
      <c r="Q158" t="s">
        <v>315</v>
      </c>
      <c r="R158" t="str">
        <f>IF(Table3[[#This Row],[Narodowość]]&lt;&gt;"Polska","Tak","Nie")</f>
        <v>Nie</v>
      </c>
    </row>
    <row r="159" spans="1:18" x14ac:dyDescent="0.25">
      <c r="A159" t="s">
        <v>217</v>
      </c>
      <c r="B159" t="s">
        <v>325</v>
      </c>
      <c r="C159">
        <v>22</v>
      </c>
      <c r="D159" t="s">
        <v>337</v>
      </c>
      <c r="F159">
        <v>14</v>
      </c>
      <c r="G159">
        <v>12</v>
      </c>
      <c r="H159">
        <v>0</v>
      </c>
      <c r="I159">
        <v>0</v>
      </c>
      <c r="J159">
        <v>2</v>
      </c>
      <c r="K159">
        <v>0</v>
      </c>
      <c r="L159">
        <v>0</v>
      </c>
      <c r="M159">
        <v>10</v>
      </c>
      <c r="N159">
        <v>3</v>
      </c>
      <c r="O159" s="2" t="s">
        <v>2301</v>
      </c>
      <c r="P159" s="4">
        <v>297</v>
      </c>
      <c r="Q159" t="s">
        <v>344</v>
      </c>
      <c r="R159" t="str">
        <f>IF(Table3[[#This Row],[Narodowość]]&lt;&gt;"Polska","Tak","Nie")</f>
        <v>Nie</v>
      </c>
    </row>
    <row r="160" spans="1:18" x14ac:dyDescent="0.25">
      <c r="A160" t="s">
        <v>217</v>
      </c>
      <c r="B160" t="s">
        <v>325</v>
      </c>
      <c r="C160">
        <v>22</v>
      </c>
      <c r="D160" t="s">
        <v>337</v>
      </c>
      <c r="F160">
        <v>11</v>
      </c>
      <c r="G160">
        <v>11</v>
      </c>
      <c r="H160">
        <v>1</v>
      </c>
      <c r="I160">
        <v>0</v>
      </c>
      <c r="J160">
        <v>1</v>
      </c>
      <c r="K160">
        <v>0</v>
      </c>
      <c r="L160">
        <v>0</v>
      </c>
      <c r="M160">
        <v>4</v>
      </c>
      <c r="N160">
        <v>4</v>
      </c>
      <c r="O160" s="2" t="s">
        <v>2429</v>
      </c>
      <c r="P160" s="4">
        <v>651</v>
      </c>
      <c r="Q160" t="s">
        <v>319</v>
      </c>
      <c r="R160" t="str">
        <f>IF(Table3[[#This Row],[Narodowość]]&lt;&gt;"Polska","Tak","Nie")</f>
        <v>Nie</v>
      </c>
    </row>
    <row r="161" spans="1:18" x14ac:dyDescent="0.25">
      <c r="A161" t="s">
        <v>192</v>
      </c>
      <c r="B161" t="s">
        <v>331</v>
      </c>
      <c r="C161">
        <v>27</v>
      </c>
      <c r="D161" t="s">
        <v>384</v>
      </c>
      <c r="E161" t="s">
        <v>337</v>
      </c>
      <c r="F161">
        <v>5</v>
      </c>
      <c r="G161">
        <v>3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2</v>
      </c>
      <c r="N161">
        <v>0</v>
      </c>
      <c r="O161" s="2" t="s">
        <v>2314</v>
      </c>
      <c r="P161" s="4">
        <v>106</v>
      </c>
      <c r="Q161" t="s">
        <v>332</v>
      </c>
      <c r="R161" t="str">
        <f>IF(Table3[[#This Row],[Narodowość]]&lt;&gt;"Polska","Tak","Nie")</f>
        <v>Tak</v>
      </c>
    </row>
    <row r="162" spans="1:18" x14ac:dyDescent="0.25">
      <c r="A162" t="s">
        <v>264</v>
      </c>
      <c r="B162" t="s">
        <v>326</v>
      </c>
      <c r="C162">
        <v>25</v>
      </c>
      <c r="D162" t="s">
        <v>392</v>
      </c>
      <c r="F162">
        <v>31</v>
      </c>
      <c r="G162">
        <v>28</v>
      </c>
      <c r="H162">
        <v>1</v>
      </c>
      <c r="I162">
        <v>4</v>
      </c>
      <c r="J162">
        <v>1</v>
      </c>
      <c r="K162">
        <v>0</v>
      </c>
      <c r="L162">
        <v>0</v>
      </c>
      <c r="M162">
        <v>22</v>
      </c>
      <c r="N162">
        <v>6</v>
      </c>
      <c r="O162" s="2" t="s">
        <v>2299</v>
      </c>
      <c r="P162" s="4">
        <v>761</v>
      </c>
      <c r="Q162" t="s">
        <v>383</v>
      </c>
      <c r="R162" t="str">
        <f>IF(Table3[[#This Row],[Narodowość]]&lt;&gt;"Polska","Tak","Nie")</f>
        <v>Tak</v>
      </c>
    </row>
    <row r="163" spans="1:18" x14ac:dyDescent="0.25">
      <c r="A163" t="s">
        <v>2168</v>
      </c>
      <c r="B163" t="s">
        <v>330</v>
      </c>
      <c r="C163">
        <v>17</v>
      </c>
      <c r="D163" t="s">
        <v>337</v>
      </c>
      <c r="F163">
        <v>2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 s="2">
        <v>0</v>
      </c>
      <c r="P163" s="4">
        <v>0</v>
      </c>
      <c r="Q163" t="s">
        <v>383</v>
      </c>
      <c r="R163" t="str">
        <f>IF(Table3[[#This Row],[Narodowość]]&lt;&gt;"Polska","Tak","Nie")</f>
        <v>Nie</v>
      </c>
    </row>
    <row r="164" spans="1:18" x14ac:dyDescent="0.25">
      <c r="A164" t="s">
        <v>107</v>
      </c>
      <c r="B164" t="s">
        <v>0</v>
      </c>
      <c r="C164">
        <v>36</v>
      </c>
      <c r="D164" t="s">
        <v>350</v>
      </c>
      <c r="F164">
        <v>34</v>
      </c>
      <c r="G164">
        <v>27</v>
      </c>
      <c r="H164">
        <v>0</v>
      </c>
      <c r="I164">
        <v>0</v>
      </c>
      <c r="J164">
        <v>3</v>
      </c>
      <c r="K164">
        <v>0</v>
      </c>
      <c r="L164">
        <v>0</v>
      </c>
      <c r="M164">
        <v>0</v>
      </c>
      <c r="N164">
        <v>0</v>
      </c>
      <c r="O164" s="2" t="s">
        <v>2354</v>
      </c>
      <c r="P164" s="4">
        <v>2430</v>
      </c>
      <c r="Q164" t="s">
        <v>338</v>
      </c>
      <c r="R164" t="str">
        <f>IF(Table3[[#This Row],[Narodowość]]&lt;&gt;"Polska","Tak","Nie")</f>
        <v>Tak</v>
      </c>
    </row>
    <row r="165" spans="1:18" x14ac:dyDescent="0.25">
      <c r="A165" t="s">
        <v>276</v>
      </c>
      <c r="B165" t="s">
        <v>382</v>
      </c>
      <c r="C165">
        <v>27</v>
      </c>
      <c r="D165" t="s">
        <v>490</v>
      </c>
      <c r="F165">
        <v>32</v>
      </c>
      <c r="G165">
        <v>22</v>
      </c>
      <c r="H165">
        <v>1</v>
      </c>
      <c r="I165">
        <v>0</v>
      </c>
      <c r="J165">
        <v>5</v>
      </c>
      <c r="K165">
        <v>0</v>
      </c>
      <c r="L165">
        <v>0</v>
      </c>
      <c r="M165">
        <v>10</v>
      </c>
      <c r="N165">
        <v>5</v>
      </c>
      <c r="O165" s="2" t="s">
        <v>2380</v>
      </c>
      <c r="P165" s="4">
        <v>1040</v>
      </c>
      <c r="Q165" t="s">
        <v>339</v>
      </c>
      <c r="R165" t="str">
        <f>IF(Table3[[#This Row],[Narodowość]]&lt;&gt;"Polska","Tak","Nie")</f>
        <v>Tak</v>
      </c>
    </row>
    <row r="166" spans="1:18" x14ac:dyDescent="0.25">
      <c r="A166" t="s">
        <v>118</v>
      </c>
      <c r="B166" t="s">
        <v>330</v>
      </c>
      <c r="C166">
        <v>21</v>
      </c>
      <c r="D166" t="s">
        <v>342</v>
      </c>
      <c r="F166">
        <v>23</v>
      </c>
      <c r="G166">
        <v>13</v>
      </c>
      <c r="H166">
        <v>0</v>
      </c>
      <c r="I166">
        <v>0</v>
      </c>
      <c r="J166">
        <v>2</v>
      </c>
      <c r="K166">
        <v>0</v>
      </c>
      <c r="L166">
        <v>0</v>
      </c>
      <c r="M166">
        <v>9</v>
      </c>
      <c r="N166">
        <v>4</v>
      </c>
      <c r="O166" s="2" t="s">
        <v>2352</v>
      </c>
      <c r="P166" s="4">
        <v>395</v>
      </c>
      <c r="Q166" t="s">
        <v>338</v>
      </c>
      <c r="R166" t="str">
        <f>IF(Table3[[#This Row],[Narodowość]]&lt;&gt;"Polska","Tak","Nie")</f>
        <v>Tak</v>
      </c>
    </row>
    <row r="167" spans="1:18" x14ac:dyDescent="0.25">
      <c r="A167" t="s">
        <v>268</v>
      </c>
      <c r="B167" t="s">
        <v>325</v>
      </c>
      <c r="C167">
        <v>27</v>
      </c>
      <c r="D167" t="s">
        <v>365</v>
      </c>
      <c r="E167" t="s">
        <v>385</v>
      </c>
      <c r="F167">
        <v>11</v>
      </c>
      <c r="G167">
        <v>11</v>
      </c>
      <c r="H167">
        <v>2</v>
      </c>
      <c r="I167">
        <v>1</v>
      </c>
      <c r="J167">
        <v>2</v>
      </c>
      <c r="K167">
        <v>0</v>
      </c>
      <c r="L167">
        <v>0</v>
      </c>
      <c r="M167">
        <v>6</v>
      </c>
      <c r="N167">
        <v>4</v>
      </c>
      <c r="O167" s="2" t="s">
        <v>2299</v>
      </c>
      <c r="P167" s="4">
        <v>544</v>
      </c>
      <c r="Q167" t="s">
        <v>383</v>
      </c>
      <c r="R167" t="str">
        <f>IF(Table3[[#This Row],[Narodowość]]&lt;&gt;"Polska","Tak","Nie")</f>
        <v>Tak</v>
      </c>
    </row>
    <row r="168" spans="1:18" x14ac:dyDescent="0.25">
      <c r="A168" t="s">
        <v>543</v>
      </c>
      <c r="B168" t="s">
        <v>331</v>
      </c>
      <c r="C168">
        <v>21</v>
      </c>
      <c r="D168" t="s">
        <v>532</v>
      </c>
      <c r="F168">
        <v>14</v>
      </c>
      <c r="G168">
        <v>13</v>
      </c>
      <c r="H168">
        <v>0</v>
      </c>
      <c r="I168">
        <v>0</v>
      </c>
      <c r="J168">
        <v>5</v>
      </c>
      <c r="K168">
        <v>0</v>
      </c>
      <c r="L168">
        <v>0</v>
      </c>
      <c r="M168">
        <v>2</v>
      </c>
      <c r="N168">
        <v>4</v>
      </c>
      <c r="O168" s="2" t="s">
        <v>2371</v>
      </c>
      <c r="P168" s="4">
        <v>1013</v>
      </c>
      <c r="Q168" t="s">
        <v>383</v>
      </c>
      <c r="R168" t="str">
        <f>IF(Table3[[#This Row],[Narodowość]]&lt;&gt;"Polska","Tak","Nie")</f>
        <v>Tak</v>
      </c>
    </row>
    <row r="169" spans="1:18" x14ac:dyDescent="0.25">
      <c r="A169" t="s">
        <v>292</v>
      </c>
      <c r="B169" t="s">
        <v>328</v>
      </c>
      <c r="C169">
        <v>29</v>
      </c>
      <c r="D169" t="s">
        <v>362</v>
      </c>
      <c r="E169" t="s">
        <v>350</v>
      </c>
      <c r="F169">
        <v>32</v>
      </c>
      <c r="G169">
        <v>31</v>
      </c>
      <c r="H169">
        <v>3</v>
      </c>
      <c r="I169">
        <v>3</v>
      </c>
      <c r="J169">
        <v>3</v>
      </c>
      <c r="K169">
        <v>0</v>
      </c>
      <c r="L169">
        <v>0</v>
      </c>
      <c r="M169">
        <v>5</v>
      </c>
      <c r="N169">
        <v>19</v>
      </c>
      <c r="O169" s="2" t="s">
        <v>2378</v>
      </c>
      <c r="P169" s="4">
        <v>2179</v>
      </c>
      <c r="Q169" t="s">
        <v>340</v>
      </c>
      <c r="R169" t="str">
        <f>IF(Table3[[#This Row],[Narodowość]]&lt;&gt;"Polska","Tak","Nie")</f>
        <v>Tak</v>
      </c>
    </row>
    <row r="170" spans="1:18" x14ac:dyDescent="0.25">
      <c r="A170" t="s">
        <v>308</v>
      </c>
      <c r="B170" t="s">
        <v>325</v>
      </c>
      <c r="C170">
        <v>25</v>
      </c>
      <c r="D170" t="s">
        <v>333</v>
      </c>
      <c r="F170">
        <v>28</v>
      </c>
      <c r="G170">
        <v>28</v>
      </c>
      <c r="H170">
        <v>11</v>
      </c>
      <c r="I170">
        <v>2</v>
      </c>
      <c r="J170">
        <v>8</v>
      </c>
      <c r="K170">
        <v>0</v>
      </c>
      <c r="L170">
        <v>0</v>
      </c>
      <c r="M170">
        <v>4</v>
      </c>
      <c r="N170">
        <v>11</v>
      </c>
      <c r="O170" s="2" t="s">
        <v>2400</v>
      </c>
      <c r="P170" s="4">
        <v>2097</v>
      </c>
      <c r="Q170" t="s">
        <v>345</v>
      </c>
      <c r="R170" t="str">
        <f>IF(Table3[[#This Row],[Narodowość]]&lt;&gt;"Polska","Tak","Nie")</f>
        <v>Tak</v>
      </c>
    </row>
    <row r="171" spans="1:18" x14ac:dyDescent="0.25">
      <c r="A171" t="s">
        <v>61</v>
      </c>
      <c r="B171" t="s">
        <v>359</v>
      </c>
      <c r="C171">
        <v>28</v>
      </c>
      <c r="D171" t="s">
        <v>342</v>
      </c>
      <c r="F171">
        <v>32</v>
      </c>
      <c r="G171">
        <v>32</v>
      </c>
      <c r="H171">
        <v>1</v>
      </c>
      <c r="I171">
        <v>6</v>
      </c>
      <c r="J171">
        <v>8</v>
      </c>
      <c r="K171">
        <v>1</v>
      </c>
      <c r="L171">
        <v>0</v>
      </c>
      <c r="M171">
        <v>0</v>
      </c>
      <c r="N171">
        <v>5</v>
      </c>
      <c r="O171" s="2" t="s">
        <v>2383</v>
      </c>
      <c r="P171" s="4">
        <v>2803</v>
      </c>
      <c r="Q171" t="s">
        <v>317</v>
      </c>
      <c r="R171" t="str">
        <f>IF(Table3[[#This Row],[Narodowość]]&lt;&gt;"Polska","Tak","Nie")</f>
        <v>Tak</v>
      </c>
    </row>
    <row r="172" spans="1:18" x14ac:dyDescent="0.25">
      <c r="A172" t="s">
        <v>138</v>
      </c>
      <c r="B172" t="s">
        <v>325</v>
      </c>
      <c r="C172">
        <v>20</v>
      </c>
      <c r="D172" t="s">
        <v>400</v>
      </c>
      <c r="F172">
        <v>29</v>
      </c>
      <c r="G172">
        <v>24</v>
      </c>
      <c r="H172">
        <v>4</v>
      </c>
      <c r="I172">
        <v>0</v>
      </c>
      <c r="J172">
        <v>1</v>
      </c>
      <c r="K172">
        <v>0</v>
      </c>
      <c r="L172">
        <v>0</v>
      </c>
      <c r="M172">
        <v>12</v>
      </c>
      <c r="N172">
        <v>10</v>
      </c>
      <c r="O172" s="2" t="s">
        <v>2303</v>
      </c>
      <c r="P172" s="4">
        <v>1077</v>
      </c>
      <c r="Q172" t="s">
        <v>318</v>
      </c>
      <c r="R172" t="str">
        <f>IF(Table3[[#This Row],[Narodowość]]&lt;&gt;"Polska","Tak","Nie")</f>
        <v>Tak</v>
      </c>
    </row>
    <row r="173" spans="1:18" x14ac:dyDescent="0.25">
      <c r="A173" t="s">
        <v>487</v>
      </c>
      <c r="B173" t="s">
        <v>324</v>
      </c>
      <c r="C173">
        <v>19</v>
      </c>
      <c r="D173" t="s">
        <v>337</v>
      </c>
      <c r="F173">
        <v>11</v>
      </c>
      <c r="G173">
        <v>11</v>
      </c>
      <c r="H173">
        <v>1</v>
      </c>
      <c r="I173">
        <v>0</v>
      </c>
      <c r="J173">
        <v>1</v>
      </c>
      <c r="K173">
        <v>0</v>
      </c>
      <c r="L173">
        <v>0</v>
      </c>
      <c r="M173">
        <v>5</v>
      </c>
      <c r="N173">
        <v>5</v>
      </c>
      <c r="O173" s="2" t="s">
        <v>2429</v>
      </c>
      <c r="P173" s="4">
        <v>603</v>
      </c>
      <c r="Q173" t="s">
        <v>316</v>
      </c>
      <c r="R173" t="str">
        <f>IF(Table3[[#This Row],[Narodowość]]&lt;&gt;"Polska","Tak","Nie")</f>
        <v>Nie</v>
      </c>
    </row>
    <row r="174" spans="1:18" x14ac:dyDescent="0.25">
      <c r="A174" t="s">
        <v>1874</v>
      </c>
      <c r="B174" t="s">
        <v>324</v>
      </c>
      <c r="C174">
        <v>20</v>
      </c>
      <c r="D174" t="s">
        <v>337</v>
      </c>
      <c r="F174">
        <v>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 s="2">
        <v>0</v>
      </c>
      <c r="P174" s="4">
        <v>0</v>
      </c>
      <c r="Q174" t="s">
        <v>319</v>
      </c>
      <c r="R174" t="str">
        <f>IF(Table3[[#This Row],[Narodowość]]&lt;&gt;"Polska","Tak","Nie")</f>
        <v>Nie</v>
      </c>
    </row>
    <row r="175" spans="1:18" x14ac:dyDescent="0.25">
      <c r="A175" t="s">
        <v>1747</v>
      </c>
      <c r="B175" t="s">
        <v>328</v>
      </c>
      <c r="C175">
        <v>20</v>
      </c>
      <c r="D175" t="s">
        <v>337</v>
      </c>
      <c r="F175">
        <v>5</v>
      </c>
      <c r="G175">
        <v>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 s="2" t="s">
        <v>2291</v>
      </c>
      <c r="P175" s="4">
        <v>2</v>
      </c>
      <c r="Q175" t="s">
        <v>361</v>
      </c>
      <c r="R175" t="str">
        <f>IF(Table3[[#This Row],[Narodowość]]&lt;&gt;"Polska","Tak","Nie")</f>
        <v>Nie</v>
      </c>
    </row>
    <row r="176" spans="1:18" x14ac:dyDescent="0.25">
      <c r="A176" t="s">
        <v>498</v>
      </c>
      <c r="B176" t="s">
        <v>331</v>
      </c>
      <c r="C176">
        <v>29</v>
      </c>
      <c r="D176" t="s">
        <v>499</v>
      </c>
      <c r="F176">
        <v>7</v>
      </c>
      <c r="G176">
        <v>6</v>
      </c>
      <c r="H176">
        <v>1</v>
      </c>
      <c r="I176">
        <v>0</v>
      </c>
      <c r="J176">
        <v>1</v>
      </c>
      <c r="K176">
        <v>0</v>
      </c>
      <c r="L176">
        <v>0</v>
      </c>
      <c r="M176">
        <v>1</v>
      </c>
      <c r="N176">
        <v>2</v>
      </c>
      <c r="O176" s="2" t="s">
        <v>2314</v>
      </c>
      <c r="P176" s="4">
        <v>363</v>
      </c>
      <c r="Q176" t="s">
        <v>340</v>
      </c>
      <c r="R176" t="str">
        <f>IF(Table3[[#This Row],[Narodowość]]&lt;&gt;"Polska","Tak","Nie")</f>
        <v>Tak</v>
      </c>
    </row>
    <row r="177" spans="1:18" x14ac:dyDescent="0.25">
      <c r="A177" t="s">
        <v>239</v>
      </c>
      <c r="B177" t="s">
        <v>325</v>
      </c>
      <c r="C177">
        <v>26</v>
      </c>
      <c r="D177" t="s">
        <v>337</v>
      </c>
      <c r="F177">
        <v>13</v>
      </c>
      <c r="G177">
        <v>13</v>
      </c>
      <c r="H177">
        <v>4</v>
      </c>
      <c r="I177">
        <v>5</v>
      </c>
      <c r="J177">
        <v>3</v>
      </c>
      <c r="K177">
        <v>0</v>
      </c>
      <c r="L177">
        <v>0</v>
      </c>
      <c r="M177">
        <v>0</v>
      </c>
      <c r="N177">
        <v>5</v>
      </c>
      <c r="O177" s="2" t="s">
        <v>2352</v>
      </c>
      <c r="P177" s="4">
        <v>1110</v>
      </c>
      <c r="Q177" t="s">
        <v>319</v>
      </c>
      <c r="R177" t="str">
        <f>IF(Table3[[#This Row],[Narodowość]]&lt;&gt;"Polska","Tak","Nie")</f>
        <v>Nie</v>
      </c>
    </row>
    <row r="178" spans="1:18" x14ac:dyDescent="0.25">
      <c r="A178" t="s">
        <v>239</v>
      </c>
      <c r="B178" t="s">
        <v>325</v>
      </c>
      <c r="C178">
        <v>26</v>
      </c>
      <c r="D178" t="s">
        <v>337</v>
      </c>
      <c r="F178">
        <v>19</v>
      </c>
      <c r="G178">
        <v>19</v>
      </c>
      <c r="H178">
        <v>3</v>
      </c>
      <c r="I178">
        <v>1</v>
      </c>
      <c r="J178">
        <v>4</v>
      </c>
      <c r="K178">
        <v>0</v>
      </c>
      <c r="L178">
        <v>0</v>
      </c>
      <c r="M178">
        <v>10</v>
      </c>
      <c r="N178">
        <v>7</v>
      </c>
      <c r="O178" s="2" t="s">
        <v>2434</v>
      </c>
      <c r="P178" s="4">
        <v>839</v>
      </c>
      <c r="Q178" t="s">
        <v>345</v>
      </c>
      <c r="R178" t="str">
        <f>IF(Table3[[#This Row],[Narodowość]]&lt;&gt;"Polska","Tak","Nie")</f>
        <v>Nie</v>
      </c>
    </row>
    <row r="179" spans="1:18" x14ac:dyDescent="0.25">
      <c r="A179" t="s">
        <v>457</v>
      </c>
      <c r="B179" t="s">
        <v>324</v>
      </c>
      <c r="C179">
        <v>27</v>
      </c>
      <c r="D179" t="s">
        <v>336</v>
      </c>
      <c r="E179" t="s">
        <v>420</v>
      </c>
      <c r="F179">
        <v>27</v>
      </c>
      <c r="G179">
        <v>23</v>
      </c>
      <c r="H179">
        <v>1</v>
      </c>
      <c r="I179">
        <v>1</v>
      </c>
      <c r="J179">
        <v>2</v>
      </c>
      <c r="K179">
        <v>1</v>
      </c>
      <c r="L179">
        <v>0</v>
      </c>
      <c r="M179">
        <v>9</v>
      </c>
      <c r="N179">
        <v>12</v>
      </c>
      <c r="O179" s="2" t="s">
        <v>2324</v>
      </c>
      <c r="P179" s="4">
        <v>1051</v>
      </c>
      <c r="Q179" t="s">
        <v>332</v>
      </c>
      <c r="R179" t="str">
        <f>IF(Table3[[#This Row],[Narodowość]]&lt;&gt;"Polska","Tak","Nie")</f>
        <v>Tak</v>
      </c>
    </row>
    <row r="180" spans="1:18" x14ac:dyDescent="0.25">
      <c r="A180" t="s">
        <v>358</v>
      </c>
      <c r="B180" t="s">
        <v>324</v>
      </c>
      <c r="C180">
        <v>30</v>
      </c>
      <c r="D180" t="s">
        <v>367</v>
      </c>
      <c r="F180">
        <v>32</v>
      </c>
      <c r="G180">
        <v>29</v>
      </c>
      <c r="H180">
        <v>4</v>
      </c>
      <c r="I180">
        <v>4</v>
      </c>
      <c r="J180">
        <v>7</v>
      </c>
      <c r="K180">
        <v>0</v>
      </c>
      <c r="L180">
        <v>0</v>
      </c>
      <c r="M180">
        <v>10</v>
      </c>
      <c r="N180">
        <v>15</v>
      </c>
      <c r="O180" s="2" t="s">
        <v>2385</v>
      </c>
      <c r="P180" s="4">
        <v>1698</v>
      </c>
      <c r="Q180" t="s">
        <v>361</v>
      </c>
      <c r="R180" t="str">
        <f>IF(Table3[[#This Row],[Narodowość]]&lt;&gt;"Polska","Tak","Nie")</f>
        <v>Tak</v>
      </c>
    </row>
    <row r="181" spans="1:18" x14ac:dyDescent="0.25">
      <c r="A181" t="s">
        <v>448</v>
      </c>
      <c r="B181" t="s">
        <v>325</v>
      </c>
      <c r="C181">
        <v>29</v>
      </c>
      <c r="D181" t="s">
        <v>449</v>
      </c>
      <c r="E181" t="s">
        <v>347</v>
      </c>
      <c r="F181">
        <v>18</v>
      </c>
      <c r="G181">
        <v>18</v>
      </c>
      <c r="H181">
        <v>2</v>
      </c>
      <c r="I181">
        <v>0</v>
      </c>
      <c r="J181">
        <v>5</v>
      </c>
      <c r="K181">
        <v>0</v>
      </c>
      <c r="L181">
        <v>0</v>
      </c>
      <c r="M181">
        <v>9</v>
      </c>
      <c r="N181">
        <v>7</v>
      </c>
      <c r="O181" s="2" t="s">
        <v>2301</v>
      </c>
      <c r="P181" s="4">
        <v>849</v>
      </c>
      <c r="Q181" t="s">
        <v>383</v>
      </c>
      <c r="R181" t="str">
        <f>IF(Table3[[#This Row],[Narodowość]]&lt;&gt;"Polska","Tak","Nie")</f>
        <v>Tak</v>
      </c>
    </row>
    <row r="182" spans="1:18" x14ac:dyDescent="0.25">
      <c r="A182" t="s">
        <v>1403</v>
      </c>
      <c r="B182" t="s">
        <v>331</v>
      </c>
      <c r="C182">
        <v>25</v>
      </c>
      <c r="D182" t="s">
        <v>388</v>
      </c>
      <c r="F182">
        <v>18</v>
      </c>
      <c r="G182">
        <v>9</v>
      </c>
      <c r="H182">
        <v>0</v>
      </c>
      <c r="I182">
        <v>0</v>
      </c>
      <c r="J182">
        <v>2</v>
      </c>
      <c r="K182">
        <v>0</v>
      </c>
      <c r="L182">
        <v>0</v>
      </c>
      <c r="M182">
        <v>7</v>
      </c>
      <c r="N182">
        <v>2</v>
      </c>
      <c r="O182" s="2" t="s">
        <v>2398</v>
      </c>
      <c r="P182" s="4">
        <v>217</v>
      </c>
      <c r="Q182" t="s">
        <v>317</v>
      </c>
      <c r="R182" t="str">
        <f>IF(Table3[[#This Row],[Narodowość]]&lt;&gt;"Polska","Tak","Nie")</f>
        <v>Tak</v>
      </c>
    </row>
    <row r="183" spans="1:18" x14ac:dyDescent="0.25">
      <c r="A183" t="s">
        <v>43</v>
      </c>
      <c r="B183" t="s">
        <v>325</v>
      </c>
      <c r="C183">
        <v>23</v>
      </c>
      <c r="D183" t="s">
        <v>350</v>
      </c>
      <c r="F183">
        <v>11</v>
      </c>
      <c r="G183">
        <v>10</v>
      </c>
      <c r="H183">
        <v>1</v>
      </c>
      <c r="I183">
        <v>1</v>
      </c>
      <c r="J183">
        <v>1</v>
      </c>
      <c r="K183">
        <v>0</v>
      </c>
      <c r="L183">
        <v>0</v>
      </c>
      <c r="M183">
        <v>6</v>
      </c>
      <c r="N183">
        <v>2</v>
      </c>
      <c r="O183" s="2" t="s">
        <v>2304</v>
      </c>
      <c r="P183" s="4">
        <v>333</v>
      </c>
      <c r="Q183" t="s">
        <v>23</v>
      </c>
      <c r="R183" t="str">
        <f>IF(Table3[[#This Row],[Narodowość]]&lt;&gt;"Polska","Tak","Nie")</f>
        <v>Tak</v>
      </c>
    </row>
    <row r="184" spans="1:18" x14ac:dyDescent="0.25">
      <c r="A184" t="s">
        <v>91</v>
      </c>
      <c r="B184" t="s">
        <v>0</v>
      </c>
      <c r="C184">
        <v>28</v>
      </c>
      <c r="D184" t="s">
        <v>337</v>
      </c>
      <c r="F184">
        <v>34</v>
      </c>
      <c r="G184">
        <v>20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2</v>
      </c>
      <c r="N184">
        <v>0</v>
      </c>
      <c r="O184" s="2" t="s">
        <v>2314</v>
      </c>
      <c r="P184" s="4">
        <v>1720</v>
      </c>
      <c r="Q184" t="s">
        <v>334</v>
      </c>
      <c r="R184" t="str">
        <f>IF(Table3[[#This Row],[Narodowość]]&lt;&gt;"Polska","Tak","Nie")</f>
        <v>Nie</v>
      </c>
    </row>
    <row r="185" spans="1:18" x14ac:dyDescent="0.25">
      <c r="A185" t="s">
        <v>776</v>
      </c>
      <c r="B185" t="s">
        <v>376</v>
      </c>
      <c r="C185">
        <v>17</v>
      </c>
      <c r="D185" t="s">
        <v>337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 s="2">
        <v>0</v>
      </c>
      <c r="P185" s="4">
        <v>0</v>
      </c>
      <c r="Q185" t="s">
        <v>334</v>
      </c>
      <c r="R185" t="str">
        <f>IF(Table3[[#This Row],[Narodowość]]&lt;&gt;"Polska","Tak","Nie")</f>
        <v>Nie</v>
      </c>
    </row>
    <row r="186" spans="1:18" x14ac:dyDescent="0.25">
      <c r="A186" t="s">
        <v>228</v>
      </c>
      <c r="B186" t="s">
        <v>331</v>
      </c>
      <c r="C186">
        <v>16</v>
      </c>
      <c r="D186" t="s">
        <v>337</v>
      </c>
      <c r="F186">
        <v>1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0</v>
      </c>
      <c r="O186" s="2" t="s">
        <v>2291</v>
      </c>
      <c r="P186" s="4">
        <v>0</v>
      </c>
      <c r="Q186" t="s">
        <v>345</v>
      </c>
      <c r="R186" t="str">
        <f>IF(Table3[[#This Row],[Narodowość]]&lt;&gt;"Polska","Tak","Nie")</f>
        <v>Nie</v>
      </c>
    </row>
    <row r="187" spans="1:18" x14ac:dyDescent="0.25">
      <c r="A187" t="s">
        <v>1825</v>
      </c>
      <c r="B187" t="s">
        <v>331</v>
      </c>
      <c r="C187">
        <v>16</v>
      </c>
      <c r="D187" t="s">
        <v>337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 s="2">
        <v>0</v>
      </c>
      <c r="P187" s="4">
        <v>0</v>
      </c>
      <c r="Q187" t="s">
        <v>340</v>
      </c>
      <c r="R187" t="str">
        <f>IF(Table3[[#This Row],[Narodowość]]&lt;&gt;"Polska","Tak","Nie")</f>
        <v>Nie</v>
      </c>
    </row>
    <row r="188" spans="1:18" x14ac:dyDescent="0.25">
      <c r="A188" t="s">
        <v>117</v>
      </c>
      <c r="B188" t="s">
        <v>376</v>
      </c>
      <c r="C188">
        <v>17</v>
      </c>
      <c r="D188" t="s">
        <v>337</v>
      </c>
      <c r="F188">
        <v>12</v>
      </c>
      <c r="G188">
        <v>6</v>
      </c>
      <c r="H188">
        <v>1</v>
      </c>
      <c r="I188">
        <v>0</v>
      </c>
      <c r="J188">
        <v>1</v>
      </c>
      <c r="K188">
        <v>0</v>
      </c>
      <c r="L188">
        <v>0</v>
      </c>
      <c r="M188">
        <v>3</v>
      </c>
      <c r="N188">
        <v>0</v>
      </c>
      <c r="O188" s="2" t="s">
        <v>2301</v>
      </c>
      <c r="P188" s="4">
        <v>321</v>
      </c>
      <c r="Q188" t="s">
        <v>338</v>
      </c>
      <c r="R188" t="str">
        <f>IF(Table3[[#This Row],[Narodowość]]&lt;&gt;"Polska","Tak","Nie")</f>
        <v>Nie</v>
      </c>
    </row>
    <row r="189" spans="1:18" x14ac:dyDescent="0.25">
      <c r="A189" t="s">
        <v>1473</v>
      </c>
      <c r="B189" t="s">
        <v>0</v>
      </c>
      <c r="C189">
        <v>17</v>
      </c>
      <c r="D189" t="s">
        <v>337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 s="2">
        <v>0</v>
      </c>
      <c r="P189" s="4">
        <v>0</v>
      </c>
      <c r="Q189" t="s">
        <v>23</v>
      </c>
      <c r="R189" t="str">
        <f>IF(Table3[[#This Row],[Narodowość]]&lt;&gt;"Polska","Tak","Nie")</f>
        <v>Nie</v>
      </c>
    </row>
    <row r="190" spans="1:18" x14ac:dyDescent="0.25">
      <c r="A190" t="s">
        <v>277</v>
      </c>
      <c r="B190" t="s">
        <v>331</v>
      </c>
      <c r="C190">
        <v>25</v>
      </c>
      <c r="D190" t="s">
        <v>350</v>
      </c>
      <c r="F190">
        <v>33</v>
      </c>
      <c r="G190">
        <v>26</v>
      </c>
      <c r="H190">
        <v>1</v>
      </c>
      <c r="I190">
        <v>0</v>
      </c>
      <c r="J190">
        <v>4</v>
      </c>
      <c r="K190">
        <v>0</v>
      </c>
      <c r="L190">
        <v>0</v>
      </c>
      <c r="M190">
        <v>16</v>
      </c>
      <c r="N190">
        <v>6</v>
      </c>
      <c r="O190" s="2" t="s">
        <v>2356</v>
      </c>
      <c r="P190" s="4">
        <v>1044</v>
      </c>
      <c r="Q190" t="s">
        <v>339</v>
      </c>
      <c r="R190" t="str">
        <f>IF(Table3[[#This Row],[Narodowość]]&lt;&gt;"Polska","Tak","Nie")</f>
        <v>Tak</v>
      </c>
    </row>
    <row r="191" spans="1:18" x14ac:dyDescent="0.25">
      <c r="A191" t="s">
        <v>172</v>
      </c>
      <c r="B191" t="s">
        <v>0</v>
      </c>
      <c r="C191">
        <v>21</v>
      </c>
      <c r="D191" t="s">
        <v>337</v>
      </c>
      <c r="F191">
        <v>34</v>
      </c>
      <c r="G191">
        <v>33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 s="2" t="s">
        <v>2380</v>
      </c>
      <c r="P191" s="4">
        <v>2970</v>
      </c>
      <c r="Q191" t="s">
        <v>315</v>
      </c>
      <c r="R191" t="str">
        <f>IF(Table3[[#This Row],[Narodowość]]&lt;&gt;"Polska","Tak","Nie")</f>
        <v>Nie</v>
      </c>
    </row>
    <row r="192" spans="1:18" x14ac:dyDescent="0.25">
      <c r="A192" t="s">
        <v>1582</v>
      </c>
      <c r="B192" t="s">
        <v>382</v>
      </c>
      <c r="C192">
        <v>19</v>
      </c>
      <c r="D192" t="s">
        <v>337</v>
      </c>
      <c r="F192">
        <v>6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 s="2">
        <v>0</v>
      </c>
      <c r="P192" s="4">
        <v>0</v>
      </c>
      <c r="Q192" t="s">
        <v>349</v>
      </c>
      <c r="R192" t="str">
        <f>IF(Table3[[#This Row],[Narodowość]]&lt;&gt;"Polska","Tak","Nie")</f>
        <v>Nie</v>
      </c>
    </row>
    <row r="193" spans="1:18" x14ac:dyDescent="0.25">
      <c r="A193" t="s">
        <v>793</v>
      </c>
      <c r="B193" t="s">
        <v>324</v>
      </c>
      <c r="C193">
        <v>19</v>
      </c>
      <c r="D193" t="s">
        <v>337</v>
      </c>
      <c r="F193">
        <v>27</v>
      </c>
      <c r="G193">
        <v>18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18</v>
      </c>
      <c r="N193">
        <v>0</v>
      </c>
      <c r="O193" s="2" t="s">
        <v>2325</v>
      </c>
      <c r="P193" s="4">
        <v>163</v>
      </c>
      <c r="Q193" t="s">
        <v>334</v>
      </c>
      <c r="R193" t="str">
        <f>IF(Table3[[#This Row],[Narodowość]]&lt;&gt;"Polska","Tak","Nie")</f>
        <v>Nie</v>
      </c>
    </row>
    <row r="194" spans="1:18" x14ac:dyDescent="0.25">
      <c r="A194" t="s">
        <v>470</v>
      </c>
      <c r="B194" t="s">
        <v>359</v>
      </c>
      <c r="C194">
        <v>29</v>
      </c>
      <c r="D194" t="s">
        <v>388</v>
      </c>
      <c r="F194">
        <v>21</v>
      </c>
      <c r="G194">
        <v>19</v>
      </c>
      <c r="H194">
        <v>0</v>
      </c>
      <c r="I194">
        <v>2</v>
      </c>
      <c r="J194">
        <v>6</v>
      </c>
      <c r="K194">
        <v>0</v>
      </c>
      <c r="L194">
        <v>1</v>
      </c>
      <c r="M194">
        <v>3</v>
      </c>
      <c r="N194">
        <v>1</v>
      </c>
      <c r="O194" s="2" t="s">
        <v>2294</v>
      </c>
      <c r="P194" s="4">
        <v>1474</v>
      </c>
      <c r="Q194" t="s">
        <v>318</v>
      </c>
      <c r="R194" t="str">
        <f>IF(Table3[[#This Row],[Narodowość]]&lt;&gt;"Polska","Tak","Nie")</f>
        <v>Tak</v>
      </c>
    </row>
    <row r="195" spans="1:18" x14ac:dyDescent="0.25">
      <c r="A195" t="s">
        <v>7</v>
      </c>
      <c r="B195" t="s">
        <v>376</v>
      </c>
      <c r="C195">
        <v>28</v>
      </c>
      <c r="D195" t="s">
        <v>337</v>
      </c>
      <c r="F195">
        <v>21</v>
      </c>
      <c r="G195">
        <v>7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4</v>
      </c>
      <c r="N195">
        <v>0</v>
      </c>
      <c r="O195" s="2" t="s">
        <v>2437</v>
      </c>
      <c r="P195" s="4">
        <v>323</v>
      </c>
      <c r="Q195" t="s">
        <v>316</v>
      </c>
      <c r="R195" t="str">
        <f>IF(Table3[[#This Row],[Narodowość]]&lt;&gt;"Polska","Tak","Nie")</f>
        <v>Nie</v>
      </c>
    </row>
    <row r="196" spans="1:18" x14ac:dyDescent="0.25">
      <c r="A196" t="s">
        <v>88</v>
      </c>
      <c r="B196" t="s">
        <v>325</v>
      </c>
      <c r="C196">
        <v>26</v>
      </c>
      <c r="D196" t="s">
        <v>337</v>
      </c>
      <c r="F196">
        <v>13</v>
      </c>
      <c r="G196">
        <v>8</v>
      </c>
      <c r="H196">
        <v>2</v>
      </c>
      <c r="I196">
        <v>0</v>
      </c>
      <c r="J196">
        <v>1</v>
      </c>
      <c r="K196">
        <v>0</v>
      </c>
      <c r="L196">
        <v>0</v>
      </c>
      <c r="M196">
        <v>3</v>
      </c>
      <c r="N196">
        <v>5</v>
      </c>
      <c r="O196" s="2" t="s">
        <v>2292</v>
      </c>
      <c r="P196" s="4">
        <v>392</v>
      </c>
      <c r="Q196" t="s">
        <v>23</v>
      </c>
      <c r="R196" t="str">
        <f>IF(Table3[[#This Row],[Narodowość]]&lt;&gt;"Polska","Tak","Nie")</f>
        <v>Nie</v>
      </c>
    </row>
    <row r="197" spans="1:18" x14ac:dyDescent="0.25">
      <c r="A197" t="s">
        <v>88</v>
      </c>
      <c r="B197" t="s">
        <v>325</v>
      </c>
      <c r="C197">
        <v>26</v>
      </c>
      <c r="D197" t="s">
        <v>337</v>
      </c>
      <c r="F197">
        <v>7</v>
      </c>
      <c r="G197">
        <v>5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2</v>
      </c>
      <c r="N197">
        <v>3</v>
      </c>
      <c r="O197" s="2" t="s">
        <v>2394</v>
      </c>
      <c r="P197" s="4">
        <v>175</v>
      </c>
      <c r="Q197" t="s">
        <v>361</v>
      </c>
      <c r="R197" t="str">
        <f>IF(Table3[[#This Row],[Narodowość]]&lt;&gt;"Polska","Tak","Nie")</f>
        <v>Nie</v>
      </c>
    </row>
    <row r="198" spans="1:18" x14ac:dyDescent="0.25">
      <c r="A198" t="s">
        <v>356</v>
      </c>
      <c r="B198" t="s">
        <v>324</v>
      </c>
      <c r="C198">
        <v>30</v>
      </c>
      <c r="D198" t="s">
        <v>337</v>
      </c>
      <c r="F198">
        <v>28</v>
      </c>
      <c r="G198">
        <v>27</v>
      </c>
      <c r="H198">
        <v>6</v>
      </c>
      <c r="I198">
        <v>2</v>
      </c>
      <c r="J198">
        <v>3</v>
      </c>
      <c r="K198">
        <v>0</v>
      </c>
      <c r="L198">
        <v>0</v>
      </c>
      <c r="M198">
        <v>5</v>
      </c>
      <c r="N198">
        <v>14</v>
      </c>
      <c r="O198" s="2" t="s">
        <v>2307</v>
      </c>
      <c r="P198" s="4">
        <v>1862</v>
      </c>
      <c r="Q198" t="s">
        <v>340</v>
      </c>
      <c r="R198" t="str">
        <f>IF(Table3[[#This Row],[Narodowość]]&lt;&gt;"Polska","Tak","Nie")</f>
        <v>Nie</v>
      </c>
    </row>
    <row r="199" spans="1:18" x14ac:dyDescent="0.25">
      <c r="A199" t="s">
        <v>814</v>
      </c>
      <c r="B199" t="s">
        <v>328</v>
      </c>
      <c r="C199">
        <v>17</v>
      </c>
      <c r="D199" t="s">
        <v>337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 s="2">
        <v>0</v>
      </c>
      <c r="P199" s="4">
        <v>0</v>
      </c>
      <c r="Q199" t="s">
        <v>334</v>
      </c>
      <c r="R199" t="str">
        <f>IF(Table3[[#This Row],[Narodowość]]&lt;&gt;"Polska","Tak","Nie")</f>
        <v>Nie</v>
      </c>
    </row>
    <row r="200" spans="1:18" x14ac:dyDescent="0.25">
      <c r="A200" t="s">
        <v>181</v>
      </c>
      <c r="B200" t="s">
        <v>331</v>
      </c>
      <c r="C200">
        <v>26</v>
      </c>
      <c r="D200" t="s">
        <v>336</v>
      </c>
      <c r="F200">
        <v>26</v>
      </c>
      <c r="G200">
        <v>26</v>
      </c>
      <c r="H200">
        <v>0</v>
      </c>
      <c r="I200">
        <v>5</v>
      </c>
      <c r="J200">
        <v>6</v>
      </c>
      <c r="K200">
        <v>0</v>
      </c>
      <c r="L200">
        <v>1</v>
      </c>
      <c r="M200">
        <v>3</v>
      </c>
      <c r="N200">
        <v>12</v>
      </c>
      <c r="O200" s="2" t="s">
        <v>2283</v>
      </c>
      <c r="P200" s="4">
        <v>2004</v>
      </c>
      <c r="Q200" t="s">
        <v>315</v>
      </c>
      <c r="R200" t="str">
        <f>IF(Table3[[#This Row],[Narodowość]]&lt;&gt;"Polska","Tak","Nie")</f>
        <v>Tak</v>
      </c>
    </row>
    <row r="201" spans="1:18" x14ac:dyDescent="0.25">
      <c r="A201" t="s">
        <v>310</v>
      </c>
      <c r="B201" t="s">
        <v>325</v>
      </c>
      <c r="C201">
        <v>36</v>
      </c>
      <c r="D201" t="s">
        <v>336</v>
      </c>
      <c r="F201">
        <v>32</v>
      </c>
      <c r="G201">
        <v>32</v>
      </c>
      <c r="H201">
        <v>10</v>
      </c>
      <c r="I201">
        <v>7</v>
      </c>
      <c r="J201">
        <v>2</v>
      </c>
      <c r="K201">
        <v>0</v>
      </c>
      <c r="L201">
        <v>0</v>
      </c>
      <c r="M201">
        <v>12</v>
      </c>
      <c r="N201">
        <v>14</v>
      </c>
      <c r="O201" s="2" t="s">
        <v>2364</v>
      </c>
      <c r="P201" s="4">
        <v>1758</v>
      </c>
      <c r="Q201" t="s">
        <v>338</v>
      </c>
      <c r="R201" t="str">
        <f>IF(Table3[[#This Row],[Narodowość]]&lt;&gt;"Polska","Tak","Nie")</f>
        <v>Tak</v>
      </c>
    </row>
    <row r="202" spans="1:18" x14ac:dyDescent="0.25">
      <c r="A202" t="s">
        <v>37</v>
      </c>
      <c r="B202" t="s">
        <v>331</v>
      </c>
      <c r="C202">
        <v>24</v>
      </c>
      <c r="D202" t="s">
        <v>453</v>
      </c>
      <c r="E202" t="s">
        <v>368</v>
      </c>
      <c r="F202">
        <v>32</v>
      </c>
      <c r="G202">
        <v>21</v>
      </c>
      <c r="H202">
        <v>1</v>
      </c>
      <c r="I202">
        <v>1</v>
      </c>
      <c r="J202">
        <v>5</v>
      </c>
      <c r="K202">
        <v>0</v>
      </c>
      <c r="L202">
        <v>0</v>
      </c>
      <c r="M202">
        <v>18</v>
      </c>
      <c r="N202">
        <v>3</v>
      </c>
      <c r="O202" s="2" t="s">
        <v>2383</v>
      </c>
      <c r="P202" s="4">
        <v>668</v>
      </c>
      <c r="Q202" t="s">
        <v>23</v>
      </c>
      <c r="R202" t="str">
        <f>IF(Table3[[#This Row],[Narodowość]]&lt;&gt;"Polska","Tak","Nie")</f>
        <v>Tak</v>
      </c>
    </row>
    <row r="203" spans="1:18" x14ac:dyDescent="0.25">
      <c r="A203" t="s">
        <v>199</v>
      </c>
      <c r="B203" t="s">
        <v>352</v>
      </c>
      <c r="C203">
        <v>25</v>
      </c>
      <c r="D203" t="s">
        <v>364</v>
      </c>
      <c r="F203">
        <v>32</v>
      </c>
      <c r="G203">
        <v>31</v>
      </c>
      <c r="H203">
        <v>2</v>
      </c>
      <c r="I203">
        <v>8</v>
      </c>
      <c r="J203">
        <v>10</v>
      </c>
      <c r="K203">
        <v>0</v>
      </c>
      <c r="L203">
        <v>0</v>
      </c>
      <c r="M203">
        <v>0</v>
      </c>
      <c r="N203">
        <v>3</v>
      </c>
      <c r="O203" s="2" t="s">
        <v>2335</v>
      </c>
      <c r="P203" s="4">
        <v>2725</v>
      </c>
      <c r="Q203" t="s">
        <v>332</v>
      </c>
      <c r="R203" t="str">
        <f>IF(Table3[[#This Row],[Narodowość]]&lt;&gt;"Polska","Tak","Nie")</f>
        <v>Tak</v>
      </c>
    </row>
    <row r="204" spans="1:18" x14ac:dyDescent="0.25">
      <c r="A204" t="s">
        <v>1298</v>
      </c>
      <c r="B204" t="s">
        <v>326</v>
      </c>
      <c r="C204">
        <v>20</v>
      </c>
      <c r="D204" t="s">
        <v>337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 s="2">
        <v>0</v>
      </c>
      <c r="P204" s="4">
        <v>0</v>
      </c>
      <c r="Q204" t="s">
        <v>315</v>
      </c>
      <c r="R204" t="str">
        <f>IF(Table3[[#This Row],[Narodowość]]&lt;&gt;"Polska","Tak","Nie")</f>
        <v>Nie</v>
      </c>
    </row>
    <row r="205" spans="1:18" x14ac:dyDescent="0.25">
      <c r="A205" t="s">
        <v>398</v>
      </c>
      <c r="B205" t="s">
        <v>326</v>
      </c>
      <c r="C205">
        <v>26</v>
      </c>
      <c r="D205" t="s">
        <v>399</v>
      </c>
      <c r="F205">
        <v>13</v>
      </c>
      <c r="G205">
        <v>13</v>
      </c>
      <c r="H205">
        <v>4</v>
      </c>
      <c r="I205">
        <v>0</v>
      </c>
      <c r="J205">
        <v>2</v>
      </c>
      <c r="K205">
        <v>0</v>
      </c>
      <c r="L205">
        <v>0</v>
      </c>
      <c r="M205">
        <v>5</v>
      </c>
      <c r="N205">
        <v>6</v>
      </c>
      <c r="O205" s="2" t="s">
        <v>2356</v>
      </c>
      <c r="P205" s="4">
        <v>808</v>
      </c>
      <c r="Q205" t="s">
        <v>349</v>
      </c>
      <c r="R205" t="str">
        <f>IF(Table3[[#This Row],[Narodowość]]&lt;&gt;"Polska","Tak","Nie")</f>
        <v>Tak</v>
      </c>
    </row>
    <row r="206" spans="1:18" x14ac:dyDescent="0.25">
      <c r="A206" t="s">
        <v>140</v>
      </c>
      <c r="B206" t="s">
        <v>0</v>
      </c>
      <c r="C206">
        <v>29</v>
      </c>
      <c r="D206" t="s">
        <v>350</v>
      </c>
      <c r="F206">
        <v>34</v>
      </c>
      <c r="G206">
        <v>33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 s="2" t="s">
        <v>2358</v>
      </c>
      <c r="P206" s="4">
        <v>2970</v>
      </c>
      <c r="Q206" t="s">
        <v>344</v>
      </c>
      <c r="R206" t="str">
        <f>IF(Table3[[#This Row],[Narodowość]]&lt;&gt;"Polska","Tak","Nie")</f>
        <v>Tak</v>
      </c>
    </row>
    <row r="207" spans="1:18" x14ac:dyDescent="0.25">
      <c r="A207" t="s">
        <v>274</v>
      </c>
      <c r="B207" t="s">
        <v>324</v>
      </c>
      <c r="C207">
        <v>18</v>
      </c>
      <c r="D207" t="s">
        <v>337</v>
      </c>
      <c r="F207">
        <v>24</v>
      </c>
      <c r="G207">
        <v>18</v>
      </c>
      <c r="H207">
        <v>0</v>
      </c>
      <c r="I207">
        <v>1</v>
      </c>
      <c r="J207">
        <v>3</v>
      </c>
      <c r="K207">
        <v>0</v>
      </c>
      <c r="L207">
        <v>0</v>
      </c>
      <c r="M207">
        <v>10</v>
      </c>
      <c r="N207">
        <v>4</v>
      </c>
      <c r="O207" s="2" t="s">
        <v>2386</v>
      </c>
      <c r="P207" s="4">
        <v>844</v>
      </c>
      <c r="Q207" t="s">
        <v>339</v>
      </c>
      <c r="R207" t="str">
        <f>IF(Table3[[#This Row],[Narodowość]]&lt;&gt;"Polska","Tak","Nie")</f>
        <v>Nie</v>
      </c>
    </row>
    <row r="208" spans="1:18" x14ac:dyDescent="0.25">
      <c r="A208" t="s">
        <v>1146</v>
      </c>
      <c r="B208" t="s">
        <v>325</v>
      </c>
      <c r="C208">
        <v>18</v>
      </c>
      <c r="D208" t="s">
        <v>337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 s="2">
        <v>0</v>
      </c>
      <c r="P208" s="4">
        <v>0</v>
      </c>
      <c r="Q208" t="s">
        <v>344</v>
      </c>
      <c r="R208" t="str">
        <f>IF(Table3[[#This Row],[Narodowość]]&lt;&gt;"Polska","Tak","Nie")</f>
        <v>Nie</v>
      </c>
    </row>
    <row r="209" spans="1:18" x14ac:dyDescent="0.25">
      <c r="A209" t="s">
        <v>433</v>
      </c>
      <c r="B209" t="s">
        <v>328</v>
      </c>
      <c r="C209">
        <v>20</v>
      </c>
      <c r="D209" t="s">
        <v>391</v>
      </c>
      <c r="E209" t="s">
        <v>430</v>
      </c>
      <c r="F209">
        <v>7</v>
      </c>
      <c r="G209">
        <v>7</v>
      </c>
      <c r="H209">
        <v>1</v>
      </c>
      <c r="I209">
        <v>2</v>
      </c>
      <c r="J209">
        <v>1</v>
      </c>
      <c r="K209">
        <v>0</v>
      </c>
      <c r="L209">
        <v>0</v>
      </c>
      <c r="M209">
        <v>1</v>
      </c>
      <c r="N209">
        <v>2</v>
      </c>
      <c r="O209" s="2" t="s">
        <v>2302</v>
      </c>
      <c r="P209" s="4">
        <v>545</v>
      </c>
      <c r="Q209" t="s">
        <v>383</v>
      </c>
      <c r="R209" t="str">
        <f>IF(Table3[[#This Row],[Narodowość]]&lt;&gt;"Polska","Tak","Nie")</f>
        <v>Tak</v>
      </c>
    </row>
    <row r="210" spans="1:18" x14ac:dyDescent="0.25">
      <c r="A210" t="s">
        <v>502</v>
      </c>
      <c r="B210" t="s">
        <v>330</v>
      </c>
      <c r="C210">
        <v>26</v>
      </c>
      <c r="D210" t="s">
        <v>503</v>
      </c>
      <c r="E210" t="s">
        <v>368</v>
      </c>
      <c r="F210">
        <v>21</v>
      </c>
      <c r="G210">
        <v>18</v>
      </c>
      <c r="H210">
        <v>1</v>
      </c>
      <c r="I210">
        <v>0</v>
      </c>
      <c r="J210">
        <v>3</v>
      </c>
      <c r="K210">
        <v>0</v>
      </c>
      <c r="L210">
        <v>0</v>
      </c>
      <c r="M210">
        <v>6</v>
      </c>
      <c r="N210">
        <v>7</v>
      </c>
      <c r="O210" s="2" t="s">
        <v>2301</v>
      </c>
      <c r="P210" s="4">
        <v>1059</v>
      </c>
      <c r="Q210" t="s">
        <v>383</v>
      </c>
      <c r="R210" t="str">
        <f>IF(Table3[[#This Row],[Narodowość]]&lt;&gt;"Polska","Tak","Nie")</f>
        <v>Tak</v>
      </c>
    </row>
    <row r="211" spans="1:18" x14ac:dyDescent="0.25">
      <c r="A211" t="s">
        <v>49</v>
      </c>
      <c r="B211" t="s">
        <v>382</v>
      </c>
      <c r="C211">
        <v>29</v>
      </c>
      <c r="D211" t="s">
        <v>370</v>
      </c>
      <c r="E211" t="s">
        <v>333</v>
      </c>
      <c r="F211">
        <v>12</v>
      </c>
      <c r="G211">
        <v>10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1</v>
      </c>
      <c r="N211">
        <v>2</v>
      </c>
      <c r="O211" s="2" t="s">
        <v>2280</v>
      </c>
      <c r="P211" s="4">
        <v>748</v>
      </c>
      <c r="Q211" t="s">
        <v>348</v>
      </c>
      <c r="R211" t="str">
        <f>IF(Table3[[#This Row],[Narodowość]]&lt;&gt;"Polska","Tak","Nie")</f>
        <v>Tak</v>
      </c>
    </row>
    <row r="212" spans="1:18" x14ac:dyDescent="0.25">
      <c r="A212" t="s">
        <v>197</v>
      </c>
      <c r="B212" t="s">
        <v>331</v>
      </c>
      <c r="C212">
        <v>22</v>
      </c>
      <c r="D212" t="s">
        <v>394</v>
      </c>
      <c r="F212">
        <v>28</v>
      </c>
      <c r="G212">
        <v>26</v>
      </c>
      <c r="H212">
        <v>1</v>
      </c>
      <c r="I212">
        <v>4</v>
      </c>
      <c r="J212">
        <v>7</v>
      </c>
      <c r="K212">
        <v>1</v>
      </c>
      <c r="L212">
        <v>1</v>
      </c>
      <c r="M212">
        <v>2</v>
      </c>
      <c r="N212">
        <v>3</v>
      </c>
      <c r="O212" s="2" t="s">
        <v>2337</v>
      </c>
      <c r="P212" s="4">
        <v>2111</v>
      </c>
      <c r="Q212" t="s">
        <v>332</v>
      </c>
      <c r="R212" t="str">
        <f>IF(Table3[[#This Row],[Narodowość]]&lt;&gt;"Polska","Tak","Nie")</f>
        <v>Tak</v>
      </c>
    </row>
    <row r="213" spans="1:18" x14ac:dyDescent="0.25">
      <c r="A213" t="s">
        <v>1700</v>
      </c>
      <c r="B213" t="s">
        <v>357</v>
      </c>
      <c r="C213">
        <v>20</v>
      </c>
      <c r="D213" t="s">
        <v>549</v>
      </c>
      <c r="F213">
        <v>3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 s="2" t="s">
        <v>2291</v>
      </c>
      <c r="P213" s="4">
        <v>21</v>
      </c>
      <c r="Q213" t="s">
        <v>361</v>
      </c>
      <c r="R213" t="str">
        <f>IF(Table3[[#This Row],[Narodowość]]&lt;&gt;"Polska","Tak","Nie")</f>
        <v>Tak</v>
      </c>
    </row>
    <row r="214" spans="1:18" x14ac:dyDescent="0.25">
      <c r="A214" t="s">
        <v>1290</v>
      </c>
      <c r="B214" t="s">
        <v>382</v>
      </c>
      <c r="C214">
        <v>30</v>
      </c>
      <c r="D214" t="s">
        <v>336</v>
      </c>
      <c r="F214">
        <v>21</v>
      </c>
      <c r="G214">
        <v>11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2</v>
      </c>
      <c r="N214">
        <v>4</v>
      </c>
      <c r="O214" s="2" t="s">
        <v>2390</v>
      </c>
      <c r="P214" s="4">
        <v>733</v>
      </c>
      <c r="Q214" t="s">
        <v>315</v>
      </c>
      <c r="R214" t="str">
        <f>IF(Table3[[#This Row],[Narodowość]]&lt;&gt;"Polska","Tak","Nie")</f>
        <v>Tak</v>
      </c>
    </row>
    <row r="215" spans="1:18" x14ac:dyDescent="0.25">
      <c r="A215" t="s">
        <v>59</v>
      </c>
      <c r="B215" t="s">
        <v>0</v>
      </c>
      <c r="C215">
        <v>31</v>
      </c>
      <c r="D215" t="s">
        <v>337</v>
      </c>
      <c r="F215">
        <v>32</v>
      </c>
      <c r="G215">
        <v>20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 s="2" t="s">
        <v>2380</v>
      </c>
      <c r="P215" s="4">
        <v>1800</v>
      </c>
      <c r="Q215" t="s">
        <v>317</v>
      </c>
      <c r="R215" t="str">
        <f>IF(Table3[[#This Row],[Narodowość]]&lt;&gt;"Polska","Tak","Nie")</f>
        <v>Nie</v>
      </c>
    </row>
    <row r="216" spans="1:18" x14ac:dyDescent="0.25">
      <c r="A216" t="s">
        <v>216</v>
      </c>
      <c r="B216" t="s">
        <v>324</v>
      </c>
      <c r="C216">
        <v>25</v>
      </c>
      <c r="D216" t="s">
        <v>337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 s="2">
        <v>0</v>
      </c>
      <c r="P216" s="4">
        <v>0</v>
      </c>
      <c r="Q216" t="s">
        <v>344</v>
      </c>
      <c r="R216" t="str">
        <f>IF(Table3[[#This Row],[Narodowość]]&lt;&gt;"Polska","Tak","Nie")</f>
        <v>Nie</v>
      </c>
    </row>
    <row r="217" spans="1:18" x14ac:dyDescent="0.25">
      <c r="A217" t="s">
        <v>216</v>
      </c>
      <c r="B217" t="s">
        <v>324</v>
      </c>
      <c r="C217">
        <v>25</v>
      </c>
      <c r="D217" t="s">
        <v>337</v>
      </c>
      <c r="F217">
        <v>33</v>
      </c>
      <c r="G217">
        <v>33</v>
      </c>
      <c r="H217">
        <v>8</v>
      </c>
      <c r="I217">
        <v>2</v>
      </c>
      <c r="J217">
        <v>5</v>
      </c>
      <c r="K217">
        <v>0</v>
      </c>
      <c r="L217">
        <v>0</v>
      </c>
      <c r="M217">
        <v>0</v>
      </c>
      <c r="N217">
        <v>13</v>
      </c>
      <c r="O217" s="2" t="s">
        <v>2300</v>
      </c>
      <c r="P217" s="4">
        <v>2893</v>
      </c>
      <c r="Q217" t="s">
        <v>319</v>
      </c>
      <c r="R217" t="str">
        <f>IF(Table3[[#This Row],[Narodowość]]&lt;&gt;"Polska","Tak","Nie")</f>
        <v>Nie</v>
      </c>
    </row>
    <row r="218" spans="1:18" x14ac:dyDescent="0.25">
      <c r="A218" t="s">
        <v>1063</v>
      </c>
      <c r="B218" t="s">
        <v>382</v>
      </c>
      <c r="C218">
        <v>25</v>
      </c>
      <c r="D218" t="s">
        <v>335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s="2">
        <v>0</v>
      </c>
      <c r="P218" s="4">
        <v>0</v>
      </c>
      <c r="Q218" t="s">
        <v>338</v>
      </c>
      <c r="R218" t="str">
        <f>IF(Table3[[#This Row],[Narodowość]]&lt;&gt;"Polska","Tak","Nie")</f>
        <v>Tak</v>
      </c>
    </row>
    <row r="219" spans="1:18" x14ac:dyDescent="0.25">
      <c r="A219" t="s">
        <v>416</v>
      </c>
      <c r="B219" t="s">
        <v>325</v>
      </c>
      <c r="C219">
        <v>27</v>
      </c>
      <c r="D219" t="s">
        <v>333</v>
      </c>
      <c r="F219">
        <v>8</v>
      </c>
      <c r="G219">
        <v>7</v>
      </c>
      <c r="H219">
        <v>3</v>
      </c>
      <c r="I219">
        <v>0</v>
      </c>
      <c r="J219">
        <v>0</v>
      </c>
      <c r="K219">
        <v>0</v>
      </c>
      <c r="L219">
        <v>0</v>
      </c>
      <c r="M219">
        <v>6</v>
      </c>
      <c r="N219">
        <v>1</v>
      </c>
      <c r="O219" s="2" t="s">
        <v>2301</v>
      </c>
      <c r="P219" s="4">
        <v>216</v>
      </c>
      <c r="Q219" t="s">
        <v>317</v>
      </c>
      <c r="R219" t="str">
        <f>IF(Table3[[#This Row],[Narodowość]]&lt;&gt;"Polska","Tak","Nie")</f>
        <v>Tak</v>
      </c>
    </row>
    <row r="220" spans="1:18" x14ac:dyDescent="0.25">
      <c r="A220" t="s">
        <v>160</v>
      </c>
      <c r="B220" t="s">
        <v>359</v>
      </c>
      <c r="C220">
        <v>25</v>
      </c>
      <c r="D220" t="s">
        <v>337</v>
      </c>
      <c r="F220">
        <v>12</v>
      </c>
      <c r="G220">
        <v>3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</v>
      </c>
      <c r="N220">
        <v>0</v>
      </c>
      <c r="O220" s="2" t="s">
        <v>2336</v>
      </c>
      <c r="P220" s="4">
        <v>74</v>
      </c>
      <c r="Q220" t="s">
        <v>341</v>
      </c>
      <c r="R220" t="str">
        <f>IF(Table3[[#This Row],[Narodowość]]&lt;&gt;"Polska","Tak","Nie")</f>
        <v>Nie</v>
      </c>
    </row>
    <row r="221" spans="1:18" x14ac:dyDescent="0.25">
      <c r="A221" t="s">
        <v>2202</v>
      </c>
      <c r="B221" t="s">
        <v>325</v>
      </c>
      <c r="C221">
        <v>21</v>
      </c>
      <c r="D221" t="s">
        <v>337</v>
      </c>
      <c r="F221">
        <v>14</v>
      </c>
      <c r="G221">
        <v>7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7</v>
      </c>
      <c r="N221">
        <v>0</v>
      </c>
      <c r="O221" s="2" t="s">
        <v>2437</v>
      </c>
      <c r="P221" s="4">
        <v>75</v>
      </c>
      <c r="Q221" t="s">
        <v>383</v>
      </c>
      <c r="R221" t="str">
        <f>IF(Table3[[#This Row],[Narodowość]]&lt;&gt;"Polska","Tak","Nie")</f>
        <v>Nie</v>
      </c>
    </row>
    <row r="222" spans="1:18" x14ac:dyDescent="0.25">
      <c r="A222" t="s">
        <v>514</v>
      </c>
      <c r="B222" t="s">
        <v>382</v>
      </c>
      <c r="C222">
        <v>25</v>
      </c>
      <c r="D222" t="s">
        <v>333</v>
      </c>
      <c r="F222">
        <v>13</v>
      </c>
      <c r="G222">
        <v>9</v>
      </c>
      <c r="H222">
        <v>0</v>
      </c>
      <c r="I222">
        <v>1</v>
      </c>
      <c r="J222">
        <v>3</v>
      </c>
      <c r="K222">
        <v>0</v>
      </c>
      <c r="L222">
        <v>0</v>
      </c>
      <c r="M222">
        <v>2</v>
      </c>
      <c r="N222">
        <v>0</v>
      </c>
      <c r="O222" s="2" t="s">
        <v>2346</v>
      </c>
      <c r="P222" s="4">
        <v>668</v>
      </c>
      <c r="Q222" t="s">
        <v>340</v>
      </c>
      <c r="R222" t="str">
        <f>IF(Table3[[#This Row],[Narodowość]]&lt;&gt;"Polska","Tak","Nie")</f>
        <v>Tak</v>
      </c>
    </row>
    <row r="223" spans="1:18" x14ac:dyDescent="0.25">
      <c r="A223" t="s">
        <v>1247</v>
      </c>
      <c r="B223" t="s">
        <v>382</v>
      </c>
      <c r="C223">
        <v>17</v>
      </c>
      <c r="D223" t="s">
        <v>337</v>
      </c>
      <c r="F223">
        <v>5</v>
      </c>
      <c r="G223">
        <v>2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2</v>
      </c>
      <c r="N223">
        <v>0</v>
      </c>
      <c r="O223" s="2" t="s">
        <v>2283</v>
      </c>
      <c r="P223" s="4">
        <v>24</v>
      </c>
      <c r="Q223" t="s">
        <v>339</v>
      </c>
      <c r="R223" t="str">
        <f>IF(Table3[[#This Row],[Narodowość]]&lt;&gt;"Polska","Tak","Nie")</f>
        <v>Nie</v>
      </c>
    </row>
    <row r="224" spans="1:18" x14ac:dyDescent="0.25">
      <c r="A224" t="s">
        <v>484</v>
      </c>
      <c r="B224" t="s">
        <v>331</v>
      </c>
      <c r="C224">
        <v>26</v>
      </c>
      <c r="D224" t="s">
        <v>430</v>
      </c>
      <c r="E224" t="s">
        <v>401</v>
      </c>
      <c r="F224">
        <v>21</v>
      </c>
      <c r="G224">
        <v>11</v>
      </c>
      <c r="H224">
        <v>1</v>
      </c>
      <c r="I224">
        <v>0</v>
      </c>
      <c r="J224">
        <v>4</v>
      </c>
      <c r="K224">
        <v>0</v>
      </c>
      <c r="L224">
        <v>1</v>
      </c>
      <c r="M224">
        <v>6</v>
      </c>
      <c r="N224">
        <v>3</v>
      </c>
      <c r="O224" s="2" t="s">
        <v>2295</v>
      </c>
      <c r="P224" s="4">
        <v>499</v>
      </c>
      <c r="Q224" t="s">
        <v>318</v>
      </c>
      <c r="R224" t="str">
        <f>IF(Table3[[#This Row],[Narodowość]]&lt;&gt;"Polska","Tak","Nie")</f>
        <v>Tak</v>
      </c>
    </row>
    <row r="225" spans="1:18" x14ac:dyDescent="0.25">
      <c r="A225" t="s">
        <v>991</v>
      </c>
      <c r="B225" t="s">
        <v>382</v>
      </c>
      <c r="C225">
        <v>26</v>
      </c>
      <c r="D225" t="s">
        <v>337</v>
      </c>
      <c r="F225">
        <v>14</v>
      </c>
      <c r="G225">
        <v>5</v>
      </c>
      <c r="H225">
        <v>0</v>
      </c>
      <c r="I225">
        <v>0</v>
      </c>
      <c r="J225">
        <v>2</v>
      </c>
      <c r="K225">
        <v>0</v>
      </c>
      <c r="L225">
        <v>0</v>
      </c>
      <c r="M225">
        <v>0</v>
      </c>
      <c r="N225">
        <v>0</v>
      </c>
      <c r="O225" s="2" t="s">
        <v>2290</v>
      </c>
      <c r="P225" s="4">
        <v>450</v>
      </c>
      <c r="Q225" t="s">
        <v>341</v>
      </c>
      <c r="R225" t="str">
        <f>IF(Table3[[#This Row],[Narodowość]]&lt;&gt;"Polska","Tak","Nie")</f>
        <v>Nie</v>
      </c>
    </row>
    <row r="226" spans="1:18" x14ac:dyDescent="0.25">
      <c r="A226" t="s">
        <v>522</v>
      </c>
      <c r="B226" t="s">
        <v>331</v>
      </c>
      <c r="C226">
        <v>25</v>
      </c>
      <c r="D226" t="s">
        <v>337</v>
      </c>
      <c r="F226">
        <v>15</v>
      </c>
      <c r="G226">
        <v>9</v>
      </c>
      <c r="H226">
        <v>0</v>
      </c>
      <c r="I226">
        <v>1</v>
      </c>
      <c r="J226">
        <v>2</v>
      </c>
      <c r="K226">
        <v>0</v>
      </c>
      <c r="L226">
        <v>0</v>
      </c>
      <c r="M226">
        <v>8</v>
      </c>
      <c r="N226">
        <v>1</v>
      </c>
      <c r="O226" s="2" t="s">
        <v>2346</v>
      </c>
      <c r="P226" s="4">
        <v>198</v>
      </c>
      <c r="Q226" t="s">
        <v>332</v>
      </c>
      <c r="R226" t="str">
        <f>IF(Table3[[#This Row],[Narodowość]]&lt;&gt;"Polska","Tak","Nie")</f>
        <v>Nie</v>
      </c>
    </row>
    <row r="227" spans="1:18" x14ac:dyDescent="0.25">
      <c r="A227" t="s">
        <v>694</v>
      </c>
      <c r="B227" t="s">
        <v>324</v>
      </c>
      <c r="C227">
        <v>17</v>
      </c>
      <c r="D227" t="s">
        <v>337</v>
      </c>
      <c r="F227">
        <v>4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 s="2" t="s">
        <v>2296</v>
      </c>
      <c r="P227" s="4">
        <v>2</v>
      </c>
      <c r="Q227" t="s">
        <v>318</v>
      </c>
      <c r="R227" t="str">
        <f>IF(Table3[[#This Row],[Narodowość]]&lt;&gt;"Polska","Tak","Nie")</f>
        <v>Nie</v>
      </c>
    </row>
    <row r="228" spans="1:18" x14ac:dyDescent="0.25">
      <c r="A228" t="s">
        <v>114</v>
      </c>
      <c r="B228" t="s">
        <v>328</v>
      </c>
      <c r="C228">
        <v>27</v>
      </c>
      <c r="D228" t="s">
        <v>363</v>
      </c>
      <c r="E228" t="s">
        <v>347</v>
      </c>
      <c r="F228">
        <v>33</v>
      </c>
      <c r="G228">
        <v>33</v>
      </c>
      <c r="H228">
        <v>6</v>
      </c>
      <c r="I228">
        <v>4</v>
      </c>
      <c r="J228">
        <v>2</v>
      </c>
      <c r="K228">
        <v>0</v>
      </c>
      <c r="L228">
        <v>0</v>
      </c>
      <c r="M228">
        <v>1</v>
      </c>
      <c r="N228">
        <v>14</v>
      </c>
      <c r="O228" s="2" t="s">
        <v>2359</v>
      </c>
      <c r="P228" s="4">
        <v>2780</v>
      </c>
      <c r="Q228" t="s">
        <v>338</v>
      </c>
      <c r="R228" t="str">
        <f>IF(Table3[[#This Row],[Narodowość]]&lt;&gt;"Polska","Tak","Nie")</f>
        <v>Tak</v>
      </c>
    </row>
    <row r="229" spans="1:18" x14ac:dyDescent="0.25">
      <c r="A229" t="s">
        <v>904</v>
      </c>
      <c r="B229" t="s">
        <v>325</v>
      </c>
      <c r="C229">
        <v>21</v>
      </c>
      <c r="D229" t="s">
        <v>548</v>
      </c>
      <c r="F229">
        <v>3</v>
      </c>
      <c r="G229">
        <v>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</v>
      </c>
      <c r="O229" s="2" t="s">
        <v>2314</v>
      </c>
      <c r="P229" s="4">
        <v>63</v>
      </c>
      <c r="Q229" t="s">
        <v>332</v>
      </c>
      <c r="R229" t="str">
        <f>IF(Table3[[#This Row],[Narodowość]]&lt;&gt;"Polska","Tak","Nie")</f>
        <v>Tak</v>
      </c>
    </row>
    <row r="230" spans="1:18" x14ac:dyDescent="0.25">
      <c r="A230" t="s">
        <v>520</v>
      </c>
      <c r="B230" t="s">
        <v>330</v>
      </c>
      <c r="C230">
        <v>25</v>
      </c>
      <c r="D230" t="s">
        <v>499</v>
      </c>
      <c r="F230">
        <v>15</v>
      </c>
      <c r="G230">
        <v>13</v>
      </c>
      <c r="H230">
        <v>0</v>
      </c>
      <c r="I230">
        <v>1</v>
      </c>
      <c r="J230">
        <v>3</v>
      </c>
      <c r="K230">
        <v>0</v>
      </c>
      <c r="L230">
        <v>0</v>
      </c>
      <c r="M230">
        <v>7</v>
      </c>
      <c r="N230">
        <v>5</v>
      </c>
      <c r="O230" s="2" t="s">
        <v>2406</v>
      </c>
      <c r="P230" s="4">
        <v>504</v>
      </c>
      <c r="Q230" t="s">
        <v>340</v>
      </c>
      <c r="R230" t="str">
        <f>IF(Table3[[#This Row],[Narodowość]]&lt;&gt;"Polska","Tak","Nie")</f>
        <v>Tak</v>
      </c>
    </row>
    <row r="231" spans="1:18" x14ac:dyDescent="0.25">
      <c r="A231" t="s">
        <v>1443</v>
      </c>
      <c r="B231" t="s">
        <v>328</v>
      </c>
      <c r="C231">
        <v>22</v>
      </c>
      <c r="D231" t="s">
        <v>385</v>
      </c>
      <c r="F231">
        <v>4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3</v>
      </c>
      <c r="N231">
        <v>0</v>
      </c>
      <c r="O231" s="2" t="s">
        <v>2314</v>
      </c>
      <c r="P231" s="4">
        <v>39</v>
      </c>
      <c r="Q231" t="s">
        <v>317</v>
      </c>
      <c r="R231" t="str">
        <f>IF(Table3[[#This Row],[Narodowość]]&lt;&gt;"Polska","Tak","Nie")</f>
        <v>Tak</v>
      </c>
    </row>
    <row r="232" spans="1:18" x14ac:dyDescent="0.25">
      <c r="A232" t="s">
        <v>76</v>
      </c>
      <c r="B232" t="s">
        <v>382</v>
      </c>
      <c r="C232">
        <v>28</v>
      </c>
      <c r="D232" t="s">
        <v>333</v>
      </c>
      <c r="F232">
        <v>19</v>
      </c>
      <c r="G232">
        <v>19</v>
      </c>
      <c r="H232">
        <v>3</v>
      </c>
      <c r="I232">
        <v>1</v>
      </c>
      <c r="J232">
        <v>4</v>
      </c>
      <c r="K232">
        <v>0</v>
      </c>
      <c r="L232">
        <v>1</v>
      </c>
      <c r="M232">
        <v>0</v>
      </c>
      <c r="N232">
        <v>2</v>
      </c>
      <c r="O232" s="2" t="s">
        <v>2285</v>
      </c>
      <c r="P232" s="4">
        <v>1622</v>
      </c>
      <c r="Q232" t="s">
        <v>361</v>
      </c>
      <c r="R232" t="str">
        <f>IF(Table3[[#This Row],[Narodowość]]&lt;&gt;"Polska","Tak","Nie")</f>
        <v>Tak</v>
      </c>
    </row>
    <row r="233" spans="1:18" x14ac:dyDescent="0.25">
      <c r="A233" t="s">
        <v>77</v>
      </c>
      <c r="B233" t="s">
        <v>382</v>
      </c>
      <c r="C233">
        <v>30</v>
      </c>
      <c r="D233" t="s">
        <v>364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 s="2">
        <v>0</v>
      </c>
      <c r="P233" s="4">
        <v>0</v>
      </c>
      <c r="Q233" t="s">
        <v>361</v>
      </c>
      <c r="R233" t="str">
        <f>IF(Table3[[#This Row],[Narodowość]]&lt;&gt;"Polska","Tak","Nie")</f>
        <v>Tak</v>
      </c>
    </row>
    <row r="234" spans="1:18" x14ac:dyDescent="0.25">
      <c r="A234" t="s">
        <v>302</v>
      </c>
      <c r="B234" t="s">
        <v>324</v>
      </c>
      <c r="C234">
        <v>27</v>
      </c>
      <c r="D234" t="s">
        <v>333</v>
      </c>
      <c r="F234">
        <v>32</v>
      </c>
      <c r="G234">
        <v>32</v>
      </c>
      <c r="H234">
        <v>20</v>
      </c>
      <c r="I234">
        <v>7</v>
      </c>
      <c r="J234">
        <v>2</v>
      </c>
      <c r="K234">
        <v>0</v>
      </c>
      <c r="L234">
        <v>0</v>
      </c>
      <c r="M234">
        <v>4</v>
      </c>
      <c r="N234">
        <v>20</v>
      </c>
      <c r="O234" s="2" t="s">
        <v>2324</v>
      </c>
      <c r="P234" s="4">
        <v>2471</v>
      </c>
      <c r="Q234" t="s">
        <v>332</v>
      </c>
      <c r="R234" t="str">
        <f>IF(Table3[[#This Row],[Narodowość]]&lt;&gt;"Polska","Tak","Nie")</f>
        <v>Tak</v>
      </c>
    </row>
    <row r="235" spans="1:18" x14ac:dyDescent="0.25">
      <c r="A235" t="s">
        <v>899</v>
      </c>
      <c r="B235" t="s">
        <v>330</v>
      </c>
      <c r="C235">
        <v>17</v>
      </c>
      <c r="D235" t="s">
        <v>337</v>
      </c>
      <c r="F235">
        <v>6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  <c r="O235" s="2" t="s">
        <v>2291</v>
      </c>
      <c r="P235" s="4">
        <v>71</v>
      </c>
      <c r="Q235" t="s">
        <v>332</v>
      </c>
      <c r="R235" t="str">
        <f>IF(Table3[[#This Row],[Narodowość]]&lt;&gt;"Polska","Tak","Nie")</f>
        <v>Nie</v>
      </c>
    </row>
    <row r="236" spans="1:18" x14ac:dyDescent="0.25">
      <c r="A236" t="s">
        <v>99</v>
      </c>
      <c r="B236" t="s">
        <v>326</v>
      </c>
      <c r="C236">
        <v>17</v>
      </c>
      <c r="D236" t="s">
        <v>337</v>
      </c>
      <c r="F236">
        <v>1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 s="2" t="s">
        <v>2296</v>
      </c>
      <c r="P236" s="4">
        <v>19</v>
      </c>
      <c r="Q236" t="s">
        <v>334</v>
      </c>
      <c r="R236" t="str">
        <f>IF(Table3[[#This Row],[Narodowość]]&lt;&gt;"Polska","Tak","Nie")</f>
        <v>Nie</v>
      </c>
    </row>
    <row r="237" spans="1:18" x14ac:dyDescent="0.25">
      <c r="A237" t="s">
        <v>201</v>
      </c>
      <c r="B237" t="s">
        <v>325</v>
      </c>
      <c r="C237">
        <v>26</v>
      </c>
      <c r="D237" t="s">
        <v>337</v>
      </c>
      <c r="F237">
        <v>28</v>
      </c>
      <c r="G237">
        <v>18</v>
      </c>
      <c r="H237">
        <v>0</v>
      </c>
      <c r="I237">
        <v>0</v>
      </c>
      <c r="J237">
        <v>3</v>
      </c>
      <c r="K237">
        <v>0</v>
      </c>
      <c r="L237">
        <v>0</v>
      </c>
      <c r="M237">
        <v>15</v>
      </c>
      <c r="N237">
        <v>3</v>
      </c>
      <c r="O237" s="2" t="s">
        <v>2314</v>
      </c>
      <c r="P237" s="4">
        <v>348</v>
      </c>
      <c r="Q237" t="s">
        <v>332</v>
      </c>
      <c r="R237" t="str">
        <f>IF(Table3[[#This Row],[Narodowość]]&lt;&gt;"Polska","Tak","Nie")</f>
        <v>Nie</v>
      </c>
    </row>
    <row r="238" spans="1:18" x14ac:dyDescent="0.25">
      <c r="A238" t="s">
        <v>158</v>
      </c>
      <c r="B238" t="s">
        <v>376</v>
      </c>
      <c r="C238">
        <v>29</v>
      </c>
      <c r="D238" t="s">
        <v>337</v>
      </c>
      <c r="F238">
        <v>34</v>
      </c>
      <c r="G238">
        <v>27</v>
      </c>
      <c r="H238">
        <v>1</v>
      </c>
      <c r="I238">
        <v>3</v>
      </c>
      <c r="J238">
        <v>2</v>
      </c>
      <c r="K238">
        <v>0</v>
      </c>
      <c r="L238">
        <v>0</v>
      </c>
      <c r="M238">
        <v>0</v>
      </c>
      <c r="N238">
        <v>4</v>
      </c>
      <c r="O238" s="2" t="s">
        <v>2350</v>
      </c>
      <c r="P238" s="4">
        <v>2368</v>
      </c>
      <c r="Q238" t="s">
        <v>341</v>
      </c>
      <c r="R238" t="str">
        <f>IF(Table3[[#This Row],[Narodowość]]&lt;&gt;"Polska","Tak","Nie")</f>
        <v>Nie</v>
      </c>
    </row>
    <row r="239" spans="1:18" x14ac:dyDescent="0.25">
      <c r="A239" t="s">
        <v>2191</v>
      </c>
      <c r="B239" t="s">
        <v>328</v>
      </c>
      <c r="C239">
        <v>35</v>
      </c>
      <c r="D239" t="s">
        <v>337</v>
      </c>
      <c r="F239">
        <v>4</v>
      </c>
      <c r="G239">
        <v>2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2</v>
      </c>
      <c r="N239">
        <v>0</v>
      </c>
      <c r="O239" s="2" t="s">
        <v>2283</v>
      </c>
      <c r="P239" s="4">
        <v>56</v>
      </c>
      <c r="Q239" t="s">
        <v>383</v>
      </c>
      <c r="R239" t="str">
        <f>IF(Table3[[#This Row],[Narodowość]]&lt;&gt;"Polska","Tak","Nie")</f>
        <v>Nie</v>
      </c>
    </row>
    <row r="240" spans="1:18" x14ac:dyDescent="0.25">
      <c r="A240" t="s">
        <v>156</v>
      </c>
      <c r="B240" t="s">
        <v>0</v>
      </c>
      <c r="C240">
        <v>23</v>
      </c>
      <c r="D240" t="s">
        <v>337</v>
      </c>
      <c r="F240">
        <v>32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 s="2">
        <v>0</v>
      </c>
      <c r="P240" s="4">
        <v>0</v>
      </c>
      <c r="Q240" t="s">
        <v>341</v>
      </c>
      <c r="R240" t="str">
        <f>IF(Table3[[#This Row],[Narodowość]]&lt;&gt;"Polska","Tak","Nie")</f>
        <v>Nie</v>
      </c>
    </row>
    <row r="241" spans="1:18" x14ac:dyDescent="0.25">
      <c r="A241" t="s">
        <v>403</v>
      </c>
      <c r="B241" t="s">
        <v>382</v>
      </c>
      <c r="C241">
        <v>29</v>
      </c>
      <c r="D241" t="s">
        <v>337</v>
      </c>
      <c r="F241">
        <v>28</v>
      </c>
      <c r="G241">
        <v>27</v>
      </c>
      <c r="H241">
        <v>3</v>
      </c>
      <c r="I241">
        <v>1</v>
      </c>
      <c r="J241">
        <v>3</v>
      </c>
      <c r="K241">
        <v>0</v>
      </c>
      <c r="L241">
        <v>0</v>
      </c>
      <c r="M241">
        <v>0</v>
      </c>
      <c r="N241">
        <v>0</v>
      </c>
      <c r="O241" s="2" t="s">
        <v>2367</v>
      </c>
      <c r="P241" s="4">
        <v>2430</v>
      </c>
      <c r="Q241" t="s">
        <v>344</v>
      </c>
      <c r="R241" t="str">
        <f>IF(Table3[[#This Row],[Narodowość]]&lt;&gt;"Polska","Tak","Nie")</f>
        <v>Nie</v>
      </c>
    </row>
    <row r="242" spans="1:18" x14ac:dyDescent="0.25">
      <c r="A242" t="s">
        <v>1523</v>
      </c>
      <c r="B242" t="s">
        <v>382</v>
      </c>
      <c r="C242">
        <v>18</v>
      </c>
      <c r="D242" t="s">
        <v>337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 s="2">
        <v>0</v>
      </c>
      <c r="P242" s="4">
        <v>0</v>
      </c>
      <c r="Q242" t="s">
        <v>23</v>
      </c>
      <c r="R242" t="str">
        <f>IF(Table3[[#This Row],[Narodowość]]&lt;&gt;"Polska","Tak","Nie")</f>
        <v>Nie</v>
      </c>
    </row>
    <row r="243" spans="1:18" x14ac:dyDescent="0.25">
      <c r="A243" t="s">
        <v>141</v>
      </c>
      <c r="B243" t="s">
        <v>357</v>
      </c>
      <c r="C243">
        <v>30</v>
      </c>
      <c r="D243" t="s">
        <v>350</v>
      </c>
      <c r="F243">
        <v>31</v>
      </c>
      <c r="G243">
        <v>23</v>
      </c>
      <c r="H243">
        <v>1</v>
      </c>
      <c r="I243">
        <v>2</v>
      </c>
      <c r="J243">
        <v>1</v>
      </c>
      <c r="K243">
        <v>0</v>
      </c>
      <c r="L243">
        <v>0</v>
      </c>
      <c r="M243">
        <v>6</v>
      </c>
      <c r="N243">
        <v>4</v>
      </c>
      <c r="O243" s="2" t="s">
        <v>2346</v>
      </c>
      <c r="P243" s="4">
        <v>1497</v>
      </c>
      <c r="Q243" t="s">
        <v>344</v>
      </c>
      <c r="R243" t="str">
        <f>IF(Table3[[#This Row],[Narodowość]]&lt;&gt;"Polska","Tak","Nie")</f>
        <v>Tak</v>
      </c>
    </row>
    <row r="244" spans="1:18" x14ac:dyDescent="0.25">
      <c r="A244" t="s">
        <v>223</v>
      </c>
      <c r="B244" t="s">
        <v>376</v>
      </c>
      <c r="C244">
        <v>18</v>
      </c>
      <c r="D244" t="s">
        <v>337</v>
      </c>
      <c r="F244">
        <v>18</v>
      </c>
      <c r="G244">
        <v>8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7</v>
      </c>
      <c r="N244">
        <v>1</v>
      </c>
      <c r="O244" s="2" t="s">
        <v>2383</v>
      </c>
      <c r="P244" s="4">
        <v>227</v>
      </c>
      <c r="Q244" t="s">
        <v>345</v>
      </c>
      <c r="R244" t="str">
        <f>IF(Table3[[#This Row],[Narodowość]]&lt;&gt;"Polska","Tak","Nie")</f>
        <v>Nie</v>
      </c>
    </row>
    <row r="245" spans="1:18" x14ac:dyDescent="0.25">
      <c r="A245" t="s">
        <v>2108</v>
      </c>
      <c r="B245" t="s">
        <v>328</v>
      </c>
      <c r="C245">
        <v>19</v>
      </c>
      <c r="D245" t="s">
        <v>337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s="2">
        <v>0</v>
      </c>
      <c r="P245" s="4">
        <v>0</v>
      </c>
      <c r="Q245" t="s">
        <v>316</v>
      </c>
      <c r="R245" t="str">
        <f>IF(Table3[[#This Row],[Narodowość]]&lt;&gt;"Polska","Tak","Nie")</f>
        <v>Nie</v>
      </c>
    </row>
    <row r="246" spans="1:18" x14ac:dyDescent="0.25">
      <c r="A246" t="s">
        <v>1669</v>
      </c>
      <c r="B246" t="s">
        <v>0</v>
      </c>
      <c r="C246">
        <v>16</v>
      </c>
      <c r="D246" t="s">
        <v>337</v>
      </c>
      <c r="F246">
        <v>2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 s="2">
        <v>0</v>
      </c>
      <c r="P246" s="4">
        <v>0</v>
      </c>
      <c r="Q246" t="s">
        <v>361</v>
      </c>
      <c r="R246" t="str">
        <f>IF(Table3[[#This Row],[Narodowość]]&lt;&gt;"Polska","Tak","Nie")</f>
        <v>Nie</v>
      </c>
    </row>
    <row r="247" spans="1:18" x14ac:dyDescent="0.25">
      <c r="A247" t="s">
        <v>28</v>
      </c>
      <c r="B247" t="s">
        <v>382</v>
      </c>
      <c r="C247">
        <v>29</v>
      </c>
      <c r="D247" t="s">
        <v>362</v>
      </c>
      <c r="F247">
        <v>21</v>
      </c>
      <c r="G247">
        <v>19</v>
      </c>
      <c r="H247">
        <v>0</v>
      </c>
      <c r="I247">
        <v>0</v>
      </c>
      <c r="J247">
        <v>2</v>
      </c>
      <c r="K247">
        <v>0</v>
      </c>
      <c r="L247">
        <v>0</v>
      </c>
      <c r="M247">
        <v>1</v>
      </c>
      <c r="N247">
        <v>1</v>
      </c>
      <c r="O247" s="2" t="s">
        <v>2363</v>
      </c>
      <c r="P247" s="4">
        <v>1581</v>
      </c>
      <c r="Q247" t="s">
        <v>23</v>
      </c>
      <c r="R247" t="str">
        <f>IF(Table3[[#This Row],[Narodowość]]&lt;&gt;"Polska","Tak","Nie")</f>
        <v>Tak</v>
      </c>
    </row>
    <row r="248" spans="1:18" x14ac:dyDescent="0.25">
      <c r="A248" t="s">
        <v>434</v>
      </c>
      <c r="B248" t="s">
        <v>330</v>
      </c>
      <c r="C248">
        <v>18</v>
      </c>
      <c r="D248" t="s">
        <v>337</v>
      </c>
      <c r="F248">
        <v>31</v>
      </c>
      <c r="G248">
        <v>18</v>
      </c>
      <c r="H248">
        <v>1</v>
      </c>
      <c r="I248">
        <v>2</v>
      </c>
      <c r="J248">
        <v>2</v>
      </c>
      <c r="K248">
        <v>0</v>
      </c>
      <c r="L248">
        <v>0</v>
      </c>
      <c r="M248">
        <v>5</v>
      </c>
      <c r="N248">
        <v>12</v>
      </c>
      <c r="O248" s="2" t="s">
        <v>2353</v>
      </c>
      <c r="P248" s="4">
        <v>998</v>
      </c>
      <c r="Q248" t="s">
        <v>338</v>
      </c>
      <c r="R248" t="str">
        <f>IF(Table3[[#This Row],[Narodowość]]&lt;&gt;"Polska","Tak","Nie")</f>
        <v>Nie</v>
      </c>
    </row>
    <row r="249" spans="1:18" x14ac:dyDescent="0.25">
      <c r="A249" t="s">
        <v>311</v>
      </c>
      <c r="B249" t="s">
        <v>326</v>
      </c>
      <c r="C249">
        <v>19</v>
      </c>
      <c r="D249" t="s">
        <v>337</v>
      </c>
      <c r="F249">
        <v>33</v>
      </c>
      <c r="G249">
        <v>33</v>
      </c>
      <c r="H249">
        <v>9</v>
      </c>
      <c r="I249">
        <v>8</v>
      </c>
      <c r="J249">
        <v>2</v>
      </c>
      <c r="K249">
        <v>0</v>
      </c>
      <c r="L249">
        <v>0</v>
      </c>
      <c r="M249">
        <v>0</v>
      </c>
      <c r="N249">
        <v>24</v>
      </c>
      <c r="O249" s="2" t="s">
        <v>2298</v>
      </c>
      <c r="P249" s="4">
        <v>2652</v>
      </c>
      <c r="Q249" t="s">
        <v>334</v>
      </c>
      <c r="R249" t="str">
        <f>IF(Table3[[#This Row],[Narodowość]]&lt;&gt;"Polska","Tak","Nie")</f>
        <v>Nie</v>
      </c>
    </row>
    <row r="250" spans="1:18" x14ac:dyDescent="0.25">
      <c r="A250" t="s">
        <v>474</v>
      </c>
      <c r="B250" t="s">
        <v>359</v>
      </c>
      <c r="C250">
        <v>27</v>
      </c>
      <c r="D250" t="s">
        <v>337</v>
      </c>
      <c r="F250">
        <v>32</v>
      </c>
      <c r="G250">
        <v>25</v>
      </c>
      <c r="H250">
        <v>0</v>
      </c>
      <c r="I250">
        <v>2</v>
      </c>
      <c r="J250">
        <v>4</v>
      </c>
      <c r="K250">
        <v>1</v>
      </c>
      <c r="L250">
        <v>0</v>
      </c>
      <c r="M250">
        <v>2</v>
      </c>
      <c r="N250">
        <v>17</v>
      </c>
      <c r="O250" s="2" t="s">
        <v>2397</v>
      </c>
      <c r="P250" s="4">
        <v>1801</v>
      </c>
      <c r="Q250" t="s">
        <v>349</v>
      </c>
      <c r="R250" t="str">
        <f>IF(Table3[[#This Row],[Narodowość]]&lt;&gt;"Polska","Tak","Nie")</f>
        <v>Nie</v>
      </c>
    </row>
    <row r="251" spans="1:18" x14ac:dyDescent="0.25">
      <c r="A251" t="s">
        <v>663</v>
      </c>
      <c r="B251" t="s">
        <v>331</v>
      </c>
      <c r="C251">
        <v>18</v>
      </c>
      <c r="D251" t="s">
        <v>337</v>
      </c>
      <c r="F251">
        <v>5</v>
      </c>
      <c r="G251">
        <v>2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0</v>
      </c>
      <c r="O251" s="2" t="s">
        <v>2296</v>
      </c>
      <c r="P251" s="4">
        <v>92</v>
      </c>
      <c r="Q251" t="s">
        <v>318</v>
      </c>
      <c r="R251" t="str">
        <f>IF(Table3[[#This Row],[Narodowość]]&lt;&gt;"Polska","Tak","Nie")</f>
        <v>Nie</v>
      </c>
    </row>
    <row r="252" spans="1:18" x14ac:dyDescent="0.25">
      <c r="A252" t="s">
        <v>1758</v>
      </c>
      <c r="B252" t="s">
        <v>325</v>
      </c>
      <c r="C252">
        <v>16</v>
      </c>
      <c r="D252" t="s">
        <v>337</v>
      </c>
      <c r="F252">
        <v>8</v>
      </c>
      <c r="G252">
        <v>3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3</v>
      </c>
      <c r="N252">
        <v>0</v>
      </c>
      <c r="O252" s="2" t="s">
        <v>2284</v>
      </c>
      <c r="P252" s="4">
        <v>42</v>
      </c>
      <c r="Q252" t="s">
        <v>361</v>
      </c>
      <c r="R252" t="str">
        <f>IF(Table3[[#This Row],[Narodowość]]&lt;&gt;"Polska","Tak","Nie")</f>
        <v>Nie</v>
      </c>
    </row>
    <row r="253" spans="1:18" x14ac:dyDescent="0.25">
      <c r="A253" t="s">
        <v>894</v>
      </c>
      <c r="B253" t="s">
        <v>0</v>
      </c>
      <c r="C253">
        <v>17</v>
      </c>
      <c r="D253" t="s">
        <v>337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 s="2">
        <v>0</v>
      </c>
      <c r="P253" s="4">
        <v>0</v>
      </c>
      <c r="Q253" t="s">
        <v>332</v>
      </c>
      <c r="R253" t="str">
        <f>IF(Table3[[#This Row],[Narodowość]]&lt;&gt;"Polska","Tak","Nie")</f>
        <v>Nie</v>
      </c>
    </row>
    <row r="254" spans="1:18" x14ac:dyDescent="0.25">
      <c r="A254" t="s">
        <v>39</v>
      </c>
      <c r="B254" t="s">
        <v>324</v>
      </c>
      <c r="C254">
        <v>19</v>
      </c>
      <c r="D254" t="s">
        <v>337</v>
      </c>
      <c r="F254">
        <v>29</v>
      </c>
      <c r="G254">
        <v>26</v>
      </c>
      <c r="H254">
        <v>3</v>
      </c>
      <c r="I254">
        <v>3</v>
      </c>
      <c r="J254">
        <v>1</v>
      </c>
      <c r="K254">
        <v>0</v>
      </c>
      <c r="L254">
        <v>0</v>
      </c>
      <c r="M254">
        <v>15</v>
      </c>
      <c r="N254">
        <v>10</v>
      </c>
      <c r="O254" s="2" t="s">
        <v>2374</v>
      </c>
      <c r="P254" s="4">
        <v>1193</v>
      </c>
      <c r="Q254" t="s">
        <v>23</v>
      </c>
      <c r="R254" t="str">
        <f>IF(Table3[[#This Row],[Narodowość]]&lt;&gt;"Polska","Tak","Nie")</f>
        <v>Nie</v>
      </c>
    </row>
    <row r="255" spans="1:18" x14ac:dyDescent="0.25">
      <c r="A255" t="s">
        <v>1142</v>
      </c>
      <c r="B255" t="s">
        <v>330</v>
      </c>
      <c r="C255">
        <v>17</v>
      </c>
      <c r="D255" t="s">
        <v>337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 s="2">
        <v>0</v>
      </c>
      <c r="P255" s="4">
        <v>0</v>
      </c>
      <c r="Q255" t="s">
        <v>344</v>
      </c>
      <c r="R255" t="str">
        <f>IF(Table3[[#This Row],[Narodowość]]&lt;&gt;"Polska","Tak","Nie")</f>
        <v>Nie</v>
      </c>
    </row>
    <row r="256" spans="1:18" x14ac:dyDescent="0.25">
      <c r="A256" t="s">
        <v>2213</v>
      </c>
      <c r="B256" t="s">
        <v>0</v>
      </c>
      <c r="C256">
        <v>19</v>
      </c>
      <c r="D256" t="s">
        <v>337</v>
      </c>
      <c r="F256">
        <v>8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 s="2">
        <v>0</v>
      </c>
      <c r="P256" s="4">
        <v>0</v>
      </c>
      <c r="Q256" t="s">
        <v>348</v>
      </c>
      <c r="R256" t="str">
        <f>IF(Table3[[#This Row],[Narodowość]]&lt;&gt;"Polska","Tak","Nie")</f>
        <v>Nie</v>
      </c>
    </row>
    <row r="257" spans="1:18" x14ac:dyDescent="0.25">
      <c r="A257" t="s">
        <v>182</v>
      </c>
      <c r="B257" t="s">
        <v>331</v>
      </c>
      <c r="C257">
        <v>19</v>
      </c>
      <c r="D257" t="s">
        <v>337</v>
      </c>
      <c r="F257">
        <v>10</v>
      </c>
      <c r="G257">
        <v>3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2</v>
      </c>
      <c r="N257">
        <v>1</v>
      </c>
      <c r="O257" s="2" t="s">
        <v>2336</v>
      </c>
      <c r="P257" s="4">
        <v>95</v>
      </c>
      <c r="Q257" t="s">
        <v>315</v>
      </c>
      <c r="R257" t="str">
        <f>IF(Table3[[#This Row],[Narodowość]]&lt;&gt;"Polska","Tak","Nie")</f>
        <v>Nie</v>
      </c>
    </row>
    <row r="258" spans="1:18" x14ac:dyDescent="0.25">
      <c r="A258" t="s">
        <v>81</v>
      </c>
      <c r="B258" t="s">
        <v>331</v>
      </c>
      <c r="C258">
        <v>17</v>
      </c>
      <c r="D258" t="s">
        <v>337</v>
      </c>
      <c r="F258">
        <v>7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 s="2" t="s">
        <v>2291</v>
      </c>
      <c r="P258" s="4">
        <v>15</v>
      </c>
      <c r="Q258" t="s">
        <v>361</v>
      </c>
      <c r="R258" t="str">
        <f>IF(Table3[[#This Row],[Narodowość]]&lt;&gt;"Polska","Tak","Nie")</f>
        <v>Nie</v>
      </c>
    </row>
    <row r="259" spans="1:18" x14ac:dyDescent="0.25">
      <c r="A259" t="s">
        <v>17</v>
      </c>
      <c r="B259" t="s">
        <v>331</v>
      </c>
      <c r="C259">
        <v>20</v>
      </c>
      <c r="D259" t="s">
        <v>337</v>
      </c>
      <c r="F259">
        <v>10</v>
      </c>
      <c r="G259">
        <v>3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</v>
      </c>
      <c r="N259">
        <v>1</v>
      </c>
      <c r="O259" s="2" t="s">
        <v>2284</v>
      </c>
      <c r="P259" s="4">
        <v>100</v>
      </c>
      <c r="Q259" t="s">
        <v>316</v>
      </c>
      <c r="R259" t="str">
        <f>IF(Table3[[#This Row],[Narodowość]]&lt;&gt;"Polska","Tak","Nie")</f>
        <v>Nie</v>
      </c>
    </row>
    <row r="260" spans="1:18" x14ac:dyDescent="0.25">
      <c r="A260" t="s">
        <v>516</v>
      </c>
      <c r="B260" t="s">
        <v>382</v>
      </c>
      <c r="C260">
        <v>34</v>
      </c>
      <c r="D260" t="s">
        <v>337</v>
      </c>
      <c r="F260">
        <v>28</v>
      </c>
      <c r="G260">
        <v>28</v>
      </c>
      <c r="H260">
        <v>0</v>
      </c>
      <c r="I260">
        <v>1</v>
      </c>
      <c r="J260">
        <v>11</v>
      </c>
      <c r="K260">
        <v>2</v>
      </c>
      <c r="L260">
        <v>0</v>
      </c>
      <c r="M260">
        <v>3</v>
      </c>
      <c r="N260">
        <v>3</v>
      </c>
      <c r="O260" s="2" t="s">
        <v>2283</v>
      </c>
      <c r="P260" s="4">
        <v>2263</v>
      </c>
      <c r="Q260" t="s">
        <v>339</v>
      </c>
      <c r="R260" t="str">
        <f>IF(Table3[[#This Row],[Narodowość]]&lt;&gt;"Polska","Tak","Nie")</f>
        <v>Nie</v>
      </c>
    </row>
    <row r="261" spans="1:18" x14ac:dyDescent="0.25">
      <c r="A261" t="s">
        <v>251</v>
      </c>
      <c r="B261" t="s">
        <v>325</v>
      </c>
      <c r="C261">
        <v>19</v>
      </c>
      <c r="D261" t="s">
        <v>337</v>
      </c>
      <c r="F261">
        <v>20</v>
      </c>
      <c r="G261">
        <v>6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6</v>
      </c>
      <c r="N261">
        <v>0</v>
      </c>
      <c r="O261" s="2" t="s">
        <v>2405</v>
      </c>
      <c r="P261" s="4">
        <v>65</v>
      </c>
      <c r="Q261" t="s">
        <v>349</v>
      </c>
      <c r="R261" t="str">
        <f>IF(Table3[[#This Row],[Narodowość]]&lt;&gt;"Polska","Tak","Nie")</f>
        <v>Nie</v>
      </c>
    </row>
    <row r="262" spans="1:18" x14ac:dyDescent="0.25">
      <c r="A262" t="s">
        <v>1295</v>
      </c>
      <c r="B262" t="s">
        <v>331</v>
      </c>
      <c r="C262">
        <v>15</v>
      </c>
      <c r="D262" t="s">
        <v>337</v>
      </c>
      <c r="F262">
        <v>5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 s="2" t="s">
        <v>2296</v>
      </c>
      <c r="P262" s="4">
        <v>0</v>
      </c>
      <c r="Q262" t="s">
        <v>315</v>
      </c>
      <c r="R262" t="str">
        <f>IF(Table3[[#This Row],[Narodowość]]&lt;&gt;"Polska","Tak","Nie")</f>
        <v>Nie</v>
      </c>
    </row>
    <row r="263" spans="1:18" x14ac:dyDescent="0.25">
      <c r="A263" t="s">
        <v>1838</v>
      </c>
      <c r="B263" t="s">
        <v>324</v>
      </c>
      <c r="C263">
        <v>20</v>
      </c>
      <c r="D263" t="s">
        <v>337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 s="2">
        <v>0</v>
      </c>
      <c r="P263" s="4">
        <v>0</v>
      </c>
      <c r="Q263" t="s">
        <v>340</v>
      </c>
      <c r="R263" t="str">
        <f>IF(Table3[[#This Row],[Narodowość]]&lt;&gt;"Polska","Tak","Nie")</f>
        <v>Nie</v>
      </c>
    </row>
    <row r="264" spans="1:18" x14ac:dyDescent="0.25">
      <c r="A264" t="s">
        <v>1136</v>
      </c>
      <c r="B264" t="s">
        <v>0</v>
      </c>
      <c r="C264">
        <v>40</v>
      </c>
      <c r="D264" t="s">
        <v>337</v>
      </c>
      <c r="F264">
        <v>3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 s="2">
        <v>0</v>
      </c>
      <c r="P264" s="4">
        <v>0</v>
      </c>
      <c r="Q264" t="s">
        <v>344</v>
      </c>
      <c r="R264" t="str">
        <f>IF(Table3[[#This Row],[Narodowość]]&lt;&gt;"Polska","Tak","Nie")</f>
        <v>Nie</v>
      </c>
    </row>
    <row r="265" spans="1:18" x14ac:dyDescent="0.25">
      <c r="A265" t="s">
        <v>1392</v>
      </c>
      <c r="B265" t="s">
        <v>382</v>
      </c>
      <c r="C265">
        <v>18</v>
      </c>
      <c r="D265" t="s">
        <v>337</v>
      </c>
      <c r="F265">
        <v>31</v>
      </c>
      <c r="G265">
        <v>11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6</v>
      </c>
      <c r="N265">
        <v>1</v>
      </c>
      <c r="O265" s="2" t="s">
        <v>2380</v>
      </c>
      <c r="P265" s="4">
        <v>642</v>
      </c>
      <c r="Q265" t="s">
        <v>317</v>
      </c>
      <c r="R265" t="str">
        <f>IF(Table3[[#This Row],[Narodowość]]&lt;&gt;"Polska","Tak","Nie")</f>
        <v>Nie</v>
      </c>
    </row>
    <row r="266" spans="1:18" x14ac:dyDescent="0.25">
      <c r="A266" t="s">
        <v>210</v>
      </c>
      <c r="B266" t="s">
        <v>359</v>
      </c>
      <c r="C266">
        <v>23</v>
      </c>
      <c r="D266" t="s">
        <v>337</v>
      </c>
      <c r="F266">
        <v>15</v>
      </c>
      <c r="G266">
        <v>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2</v>
      </c>
      <c r="N266">
        <v>1</v>
      </c>
      <c r="O266" s="2" t="s">
        <v>2368</v>
      </c>
      <c r="P266" s="4">
        <v>110</v>
      </c>
      <c r="Q266" t="s">
        <v>319</v>
      </c>
      <c r="R266" t="str">
        <f>IF(Table3[[#This Row],[Narodowość]]&lt;&gt;"Polska","Tak","Nie")</f>
        <v>Nie</v>
      </c>
    </row>
    <row r="267" spans="1:18" x14ac:dyDescent="0.25">
      <c r="A267" t="s">
        <v>1858</v>
      </c>
      <c r="B267" t="s">
        <v>325</v>
      </c>
      <c r="C267">
        <v>32</v>
      </c>
      <c r="D267" t="s">
        <v>337</v>
      </c>
      <c r="F267">
        <v>24</v>
      </c>
      <c r="G267">
        <v>16</v>
      </c>
      <c r="H267">
        <v>0</v>
      </c>
      <c r="I267">
        <v>0</v>
      </c>
      <c r="J267">
        <v>3</v>
      </c>
      <c r="K267">
        <v>0</v>
      </c>
      <c r="L267">
        <v>0</v>
      </c>
      <c r="M267">
        <v>9</v>
      </c>
      <c r="N267">
        <v>4</v>
      </c>
      <c r="O267" s="2" t="s">
        <v>2383</v>
      </c>
      <c r="P267" s="4">
        <v>595</v>
      </c>
      <c r="Q267" t="s">
        <v>340</v>
      </c>
      <c r="R267" t="str">
        <f>IF(Table3[[#This Row],[Narodowość]]&lt;&gt;"Polska","Tak","Nie")</f>
        <v>Nie</v>
      </c>
    </row>
    <row r="268" spans="1:18" x14ac:dyDescent="0.25">
      <c r="A268" t="s">
        <v>463</v>
      </c>
      <c r="B268" t="s">
        <v>331</v>
      </c>
      <c r="C268">
        <v>29</v>
      </c>
      <c r="D268" t="s">
        <v>337</v>
      </c>
      <c r="F268">
        <v>20</v>
      </c>
      <c r="G268">
        <v>16</v>
      </c>
      <c r="H268">
        <v>1</v>
      </c>
      <c r="I268">
        <v>1</v>
      </c>
      <c r="J268">
        <v>6</v>
      </c>
      <c r="K268">
        <v>0</v>
      </c>
      <c r="L268">
        <v>0</v>
      </c>
      <c r="M268">
        <v>6</v>
      </c>
      <c r="N268">
        <v>7</v>
      </c>
      <c r="O268" s="2" t="s">
        <v>2422</v>
      </c>
      <c r="P268" s="4">
        <v>908</v>
      </c>
      <c r="Q268" t="s">
        <v>340</v>
      </c>
      <c r="R268" t="str">
        <f>IF(Table3[[#This Row],[Narodowość]]&lt;&gt;"Polska","Tak","Nie")</f>
        <v>Nie</v>
      </c>
    </row>
    <row r="269" spans="1:18" x14ac:dyDescent="0.25">
      <c r="A269" t="s">
        <v>1087</v>
      </c>
      <c r="B269" t="s">
        <v>331</v>
      </c>
      <c r="C269">
        <v>18</v>
      </c>
      <c r="D269" t="s">
        <v>337</v>
      </c>
      <c r="F269">
        <v>24</v>
      </c>
      <c r="G269">
        <v>14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12</v>
      </c>
      <c r="N269">
        <v>2</v>
      </c>
      <c r="O269" s="2" t="s">
        <v>2357</v>
      </c>
      <c r="P269" s="4">
        <v>292</v>
      </c>
      <c r="Q269" t="s">
        <v>338</v>
      </c>
      <c r="R269" t="str">
        <f>IF(Table3[[#This Row],[Narodowość]]&lt;&gt;"Polska","Tak","Nie")</f>
        <v>Nie</v>
      </c>
    </row>
    <row r="270" spans="1:18" x14ac:dyDescent="0.25">
      <c r="A270" t="s">
        <v>1466</v>
      </c>
      <c r="B270" t="s">
        <v>325</v>
      </c>
      <c r="C270">
        <v>18</v>
      </c>
      <c r="D270" t="s">
        <v>337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 s="2">
        <v>0</v>
      </c>
      <c r="P270" s="4">
        <v>0</v>
      </c>
      <c r="Q270" t="s">
        <v>317</v>
      </c>
      <c r="R270" t="str">
        <f>IF(Table3[[#This Row],[Narodowość]]&lt;&gt;"Polska","Tak","Nie")</f>
        <v>Nie</v>
      </c>
    </row>
    <row r="271" spans="1:18" x14ac:dyDescent="0.25">
      <c r="A271" t="s">
        <v>1748</v>
      </c>
      <c r="B271" t="s">
        <v>328</v>
      </c>
      <c r="C271">
        <v>15</v>
      </c>
      <c r="D271" t="s">
        <v>337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 s="2">
        <v>0</v>
      </c>
      <c r="P271" s="4">
        <v>0</v>
      </c>
      <c r="Q271" t="s">
        <v>361</v>
      </c>
      <c r="R271" t="str">
        <f>IF(Table3[[#This Row],[Narodowość]]&lt;&gt;"Polska","Tak","Nie")</f>
        <v>Nie</v>
      </c>
    </row>
    <row r="272" spans="1:18" x14ac:dyDescent="0.25">
      <c r="A272" t="s">
        <v>243</v>
      </c>
      <c r="B272" t="s">
        <v>352</v>
      </c>
      <c r="C272">
        <v>26</v>
      </c>
      <c r="D272" t="s">
        <v>337</v>
      </c>
      <c r="F272">
        <v>34</v>
      </c>
      <c r="G272">
        <v>34</v>
      </c>
      <c r="H272">
        <v>3</v>
      </c>
      <c r="I272">
        <v>1</v>
      </c>
      <c r="J272">
        <v>3</v>
      </c>
      <c r="K272">
        <v>0</v>
      </c>
      <c r="L272">
        <v>0</v>
      </c>
      <c r="M272">
        <v>0</v>
      </c>
      <c r="N272">
        <v>0</v>
      </c>
      <c r="O272" s="2" t="s">
        <v>2385</v>
      </c>
      <c r="P272" s="4">
        <v>3060</v>
      </c>
      <c r="Q272" t="s">
        <v>349</v>
      </c>
      <c r="R272" t="str">
        <f>IF(Table3[[#This Row],[Narodowość]]&lt;&gt;"Polska","Tak","Nie")</f>
        <v>Nie</v>
      </c>
    </row>
    <row r="273" spans="1:18" x14ac:dyDescent="0.25">
      <c r="A273" t="s">
        <v>267</v>
      </c>
      <c r="B273" t="s">
        <v>325</v>
      </c>
      <c r="C273">
        <v>27</v>
      </c>
      <c r="D273" t="s">
        <v>362</v>
      </c>
      <c r="E273" t="s">
        <v>350</v>
      </c>
      <c r="F273">
        <v>23</v>
      </c>
      <c r="G273">
        <v>22</v>
      </c>
      <c r="H273">
        <v>2</v>
      </c>
      <c r="I273">
        <v>1</v>
      </c>
      <c r="J273">
        <v>3</v>
      </c>
      <c r="K273">
        <v>0</v>
      </c>
      <c r="L273">
        <v>0</v>
      </c>
      <c r="M273">
        <v>7</v>
      </c>
      <c r="N273">
        <v>9</v>
      </c>
      <c r="O273" s="2" t="s">
        <v>2424</v>
      </c>
      <c r="P273" s="4">
        <v>1344</v>
      </c>
      <c r="Q273" t="s">
        <v>383</v>
      </c>
      <c r="R273" t="str">
        <f>IF(Table3[[#This Row],[Narodowość]]&lt;&gt;"Polska","Tak","Nie")</f>
        <v>Tak</v>
      </c>
    </row>
    <row r="274" spans="1:18" x14ac:dyDescent="0.25">
      <c r="A274" t="s">
        <v>1694</v>
      </c>
      <c r="B274" t="s">
        <v>382</v>
      </c>
      <c r="C274">
        <v>21</v>
      </c>
      <c r="D274" t="s">
        <v>337</v>
      </c>
      <c r="F274">
        <v>11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 s="2">
        <v>0</v>
      </c>
      <c r="P274" s="4">
        <v>0</v>
      </c>
      <c r="Q274" t="s">
        <v>361</v>
      </c>
      <c r="R274" t="str">
        <f>IF(Table3[[#This Row],[Narodowość]]&lt;&gt;"Polska","Tak","Nie")</f>
        <v>Nie</v>
      </c>
    </row>
    <row r="275" spans="1:18" x14ac:dyDescent="0.25">
      <c r="A275" t="s">
        <v>804</v>
      </c>
      <c r="B275" t="s">
        <v>326</v>
      </c>
      <c r="C275">
        <v>27</v>
      </c>
      <c r="D275" t="s">
        <v>362</v>
      </c>
      <c r="F275">
        <v>5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4</v>
      </c>
      <c r="N275">
        <v>0</v>
      </c>
      <c r="O275" s="2" t="s">
        <v>2315</v>
      </c>
      <c r="P275" s="4">
        <v>50</v>
      </c>
      <c r="Q275" t="s">
        <v>334</v>
      </c>
      <c r="R275" t="str">
        <f>IF(Table3[[#This Row],[Narodowość]]&lt;&gt;"Polska","Tak","Nie")</f>
        <v>Tak</v>
      </c>
    </row>
    <row r="276" spans="1:18" x14ac:dyDescent="0.25">
      <c r="A276" t="s">
        <v>1289</v>
      </c>
      <c r="B276" t="s">
        <v>0</v>
      </c>
      <c r="C276">
        <v>22</v>
      </c>
      <c r="D276" t="s">
        <v>337</v>
      </c>
      <c r="F276">
        <v>5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 s="2">
        <v>0</v>
      </c>
      <c r="P276" s="4">
        <v>0</v>
      </c>
      <c r="Q276" t="s">
        <v>315</v>
      </c>
      <c r="R276" t="str">
        <f>IF(Table3[[#This Row],[Narodowość]]&lt;&gt;"Polska","Tak","Nie")</f>
        <v>Nie</v>
      </c>
    </row>
    <row r="277" spans="1:18" x14ac:dyDescent="0.25">
      <c r="A277" t="s">
        <v>1519</v>
      </c>
      <c r="B277" t="s">
        <v>382</v>
      </c>
      <c r="C277">
        <v>17</v>
      </c>
      <c r="D277" t="s">
        <v>337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 s="2">
        <v>0</v>
      </c>
      <c r="P277" s="4">
        <v>0</v>
      </c>
      <c r="Q277" t="s">
        <v>23</v>
      </c>
      <c r="R277" t="str">
        <f>IF(Table3[[#This Row],[Narodowość]]&lt;&gt;"Polska","Tak","Nie")</f>
        <v>Nie</v>
      </c>
    </row>
    <row r="278" spans="1:18" x14ac:dyDescent="0.25">
      <c r="A278" t="s">
        <v>55</v>
      </c>
      <c r="B278" t="s">
        <v>331</v>
      </c>
      <c r="C278">
        <v>35</v>
      </c>
      <c r="D278" t="s">
        <v>337</v>
      </c>
      <c r="F278">
        <v>29</v>
      </c>
      <c r="G278">
        <v>29</v>
      </c>
      <c r="H278">
        <v>4</v>
      </c>
      <c r="I278">
        <v>2</v>
      </c>
      <c r="J278">
        <v>10</v>
      </c>
      <c r="K278">
        <v>2</v>
      </c>
      <c r="L278">
        <v>0</v>
      </c>
      <c r="M278">
        <v>0</v>
      </c>
      <c r="N278">
        <v>7</v>
      </c>
      <c r="O278" s="2" t="s">
        <v>2432</v>
      </c>
      <c r="P278" s="4">
        <v>2469</v>
      </c>
      <c r="Q278" t="s">
        <v>348</v>
      </c>
      <c r="R278" t="str">
        <f>IF(Table3[[#This Row],[Narodowość]]&lt;&gt;"Polska","Tak","Nie")</f>
        <v>Nie</v>
      </c>
    </row>
    <row r="279" spans="1:18" x14ac:dyDescent="0.25">
      <c r="A279" t="s">
        <v>428</v>
      </c>
      <c r="B279" t="s">
        <v>331</v>
      </c>
      <c r="C279">
        <v>25</v>
      </c>
      <c r="D279" t="s">
        <v>337</v>
      </c>
      <c r="F279">
        <v>32</v>
      </c>
      <c r="G279">
        <v>30</v>
      </c>
      <c r="H279">
        <v>2</v>
      </c>
      <c r="I279">
        <v>1</v>
      </c>
      <c r="J279">
        <v>10</v>
      </c>
      <c r="K279">
        <v>0</v>
      </c>
      <c r="L279">
        <v>0</v>
      </c>
      <c r="M279">
        <v>3</v>
      </c>
      <c r="N279">
        <v>12</v>
      </c>
      <c r="O279" s="2" t="s">
        <v>2349</v>
      </c>
      <c r="P279" s="4">
        <v>2348</v>
      </c>
      <c r="Q279" t="s">
        <v>338</v>
      </c>
      <c r="R279" t="str">
        <f>IF(Table3[[#This Row],[Narodowość]]&lt;&gt;"Polska","Tak","Nie")</f>
        <v>Nie</v>
      </c>
    </row>
    <row r="280" spans="1:18" x14ac:dyDescent="0.25">
      <c r="A280" t="s">
        <v>1775</v>
      </c>
      <c r="B280" t="s">
        <v>0</v>
      </c>
      <c r="C280">
        <v>34</v>
      </c>
      <c r="D280" t="s">
        <v>346</v>
      </c>
      <c r="E280" t="s">
        <v>337</v>
      </c>
      <c r="F280">
        <v>6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 s="2" t="s">
        <v>2291</v>
      </c>
      <c r="P280" s="4">
        <v>90</v>
      </c>
      <c r="Q280" t="s">
        <v>340</v>
      </c>
      <c r="R280" t="str">
        <f>IF(Table3[[#This Row],[Narodowość]]&lt;&gt;"Polska","Tak","Nie")</f>
        <v>Tak</v>
      </c>
    </row>
    <row r="281" spans="1:18" x14ac:dyDescent="0.25">
      <c r="A281" t="s">
        <v>56</v>
      </c>
      <c r="B281" t="s">
        <v>328</v>
      </c>
      <c r="C281">
        <v>22</v>
      </c>
      <c r="D281" t="s">
        <v>368</v>
      </c>
      <c r="E281" t="s">
        <v>369</v>
      </c>
      <c r="F281">
        <v>27</v>
      </c>
      <c r="G281">
        <v>25</v>
      </c>
      <c r="H281">
        <v>2</v>
      </c>
      <c r="I281">
        <v>6</v>
      </c>
      <c r="J281">
        <v>4</v>
      </c>
      <c r="K281">
        <v>0</v>
      </c>
      <c r="L281">
        <v>0</v>
      </c>
      <c r="M281">
        <v>7</v>
      </c>
      <c r="N281">
        <v>10</v>
      </c>
      <c r="O281" s="2" t="s">
        <v>2435</v>
      </c>
      <c r="P281" s="4">
        <v>1667</v>
      </c>
      <c r="Q281" t="s">
        <v>348</v>
      </c>
      <c r="R281" t="str">
        <f>IF(Table3[[#This Row],[Narodowość]]&lt;&gt;"Polska","Tak","Nie")</f>
        <v>Tak</v>
      </c>
    </row>
    <row r="282" spans="1:18" x14ac:dyDescent="0.25">
      <c r="A282" t="s">
        <v>1989</v>
      </c>
      <c r="B282" t="s">
        <v>330</v>
      </c>
      <c r="C282">
        <v>20</v>
      </c>
      <c r="D282" t="s">
        <v>337</v>
      </c>
      <c r="E282" t="s">
        <v>333</v>
      </c>
      <c r="F282">
        <v>14</v>
      </c>
      <c r="G282">
        <v>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2</v>
      </c>
      <c r="N282">
        <v>0</v>
      </c>
      <c r="O282" s="2" t="s">
        <v>2301</v>
      </c>
      <c r="P282" s="4">
        <v>53</v>
      </c>
      <c r="Q282" t="s">
        <v>345</v>
      </c>
      <c r="R282" t="str">
        <f>IF(Table3[[#This Row],[Narodowość]]&lt;&gt;"Polska","Tak","Nie")</f>
        <v>Nie</v>
      </c>
    </row>
    <row r="283" spans="1:18" x14ac:dyDescent="0.25">
      <c r="A283" t="s">
        <v>250</v>
      </c>
      <c r="B283" t="s">
        <v>326</v>
      </c>
      <c r="C283">
        <v>25</v>
      </c>
      <c r="D283" t="s">
        <v>480</v>
      </c>
      <c r="E283" t="s">
        <v>481</v>
      </c>
      <c r="F283">
        <v>27</v>
      </c>
      <c r="G283">
        <v>26</v>
      </c>
      <c r="H283">
        <v>0</v>
      </c>
      <c r="I283">
        <v>2</v>
      </c>
      <c r="J283">
        <v>8</v>
      </c>
      <c r="K283">
        <v>0</v>
      </c>
      <c r="L283">
        <v>0</v>
      </c>
      <c r="M283">
        <v>8</v>
      </c>
      <c r="N283">
        <v>15</v>
      </c>
      <c r="O283" s="2" t="s">
        <v>2393</v>
      </c>
      <c r="P283" s="4">
        <v>1532</v>
      </c>
      <c r="Q283" t="s">
        <v>349</v>
      </c>
      <c r="R283" t="str">
        <f>IF(Table3[[#This Row],[Narodowość]]&lt;&gt;"Polska","Tak","Nie")</f>
        <v>Tak</v>
      </c>
    </row>
    <row r="284" spans="1:18" x14ac:dyDescent="0.25">
      <c r="A284" t="s">
        <v>167</v>
      </c>
      <c r="B284" t="s">
        <v>352</v>
      </c>
      <c r="C284">
        <v>25</v>
      </c>
      <c r="D284" t="s">
        <v>333</v>
      </c>
      <c r="E284" t="s">
        <v>370</v>
      </c>
      <c r="F284">
        <v>34</v>
      </c>
      <c r="G284">
        <v>34</v>
      </c>
      <c r="H284">
        <v>2</v>
      </c>
      <c r="I284">
        <v>6</v>
      </c>
      <c r="J284">
        <v>2</v>
      </c>
      <c r="K284">
        <v>0</v>
      </c>
      <c r="L284">
        <v>0</v>
      </c>
      <c r="M284">
        <v>13</v>
      </c>
      <c r="N284">
        <v>20</v>
      </c>
      <c r="O284" s="2" t="s">
        <v>2348</v>
      </c>
      <c r="P284" s="4">
        <v>1774</v>
      </c>
      <c r="Q284" t="s">
        <v>341</v>
      </c>
      <c r="R284" t="str">
        <f>IF(Table3[[#This Row],[Narodowość]]&lt;&gt;"Polska","Tak","Nie")</f>
        <v>Tak</v>
      </c>
    </row>
    <row r="285" spans="1:18" x14ac:dyDescent="0.25">
      <c r="A285" t="s">
        <v>545</v>
      </c>
      <c r="B285" t="s">
        <v>331</v>
      </c>
      <c r="C285">
        <v>23</v>
      </c>
      <c r="D285" t="s">
        <v>550</v>
      </c>
      <c r="F285">
        <v>28</v>
      </c>
      <c r="G285">
        <v>16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12</v>
      </c>
      <c r="N285">
        <v>0</v>
      </c>
      <c r="O285" s="2" t="s">
        <v>2384</v>
      </c>
      <c r="P285" s="4">
        <v>541</v>
      </c>
      <c r="Q285" t="s">
        <v>317</v>
      </c>
      <c r="R285" t="str">
        <f>IF(Table3[[#This Row],[Narodowość]]&lt;&gt;"Polska","Tak","Nie")</f>
        <v>Tak</v>
      </c>
    </row>
    <row r="286" spans="1:18" x14ac:dyDescent="0.25">
      <c r="A286" t="s">
        <v>1576</v>
      </c>
      <c r="B286" t="s">
        <v>0</v>
      </c>
      <c r="C286">
        <v>20</v>
      </c>
      <c r="D286" t="s">
        <v>337</v>
      </c>
      <c r="F286">
        <v>31</v>
      </c>
      <c r="G286">
        <v>9</v>
      </c>
      <c r="H286">
        <v>0</v>
      </c>
      <c r="I286">
        <v>0</v>
      </c>
      <c r="J286">
        <v>2</v>
      </c>
      <c r="K286">
        <v>0</v>
      </c>
      <c r="L286">
        <v>0</v>
      </c>
      <c r="M286">
        <v>0</v>
      </c>
      <c r="N286">
        <v>0</v>
      </c>
      <c r="O286" s="2" t="s">
        <v>2354</v>
      </c>
      <c r="P286" s="4">
        <v>810</v>
      </c>
      <c r="Q286" t="s">
        <v>349</v>
      </c>
      <c r="R286" t="str">
        <f>IF(Table3[[#This Row],[Narodowość]]&lt;&gt;"Polska","Tak","Nie")</f>
        <v>Nie</v>
      </c>
    </row>
    <row r="287" spans="1:18" x14ac:dyDescent="0.25">
      <c r="A287" t="s">
        <v>456</v>
      </c>
      <c r="B287" t="s">
        <v>331</v>
      </c>
      <c r="C287">
        <v>26</v>
      </c>
      <c r="D287" t="s">
        <v>335</v>
      </c>
      <c r="F287">
        <v>32</v>
      </c>
      <c r="G287">
        <v>32</v>
      </c>
      <c r="H287">
        <v>1</v>
      </c>
      <c r="I287">
        <v>1</v>
      </c>
      <c r="J287">
        <v>5</v>
      </c>
      <c r="K287">
        <v>0</v>
      </c>
      <c r="L287">
        <v>0</v>
      </c>
      <c r="M287">
        <v>2</v>
      </c>
      <c r="N287">
        <v>16</v>
      </c>
      <c r="O287" s="2" t="s">
        <v>2324</v>
      </c>
      <c r="P287" s="4">
        <v>2521</v>
      </c>
      <c r="Q287" t="s">
        <v>334</v>
      </c>
      <c r="R287" t="str">
        <f>IF(Table3[[#This Row],[Narodowość]]&lt;&gt;"Polska","Tak","Nie")</f>
        <v>Tak</v>
      </c>
    </row>
    <row r="288" spans="1:18" x14ac:dyDescent="0.25">
      <c r="A288" t="s">
        <v>313</v>
      </c>
      <c r="B288" t="s">
        <v>324</v>
      </c>
      <c r="C288">
        <v>30</v>
      </c>
      <c r="D288" t="s">
        <v>333</v>
      </c>
      <c r="F288">
        <v>16</v>
      </c>
      <c r="G288">
        <v>16</v>
      </c>
      <c r="H288">
        <v>9</v>
      </c>
      <c r="I288">
        <v>2</v>
      </c>
      <c r="J288">
        <v>4</v>
      </c>
      <c r="K288">
        <v>0</v>
      </c>
      <c r="L288">
        <v>0</v>
      </c>
      <c r="M288">
        <v>2</v>
      </c>
      <c r="N288">
        <v>5</v>
      </c>
      <c r="O288" s="2" t="s">
        <v>2384</v>
      </c>
      <c r="P288" s="4">
        <v>1344</v>
      </c>
      <c r="Q288" t="s">
        <v>361</v>
      </c>
      <c r="R288" t="str">
        <f>IF(Table3[[#This Row],[Narodowość]]&lt;&gt;"Polska","Tak","Nie")</f>
        <v>Tak</v>
      </c>
    </row>
    <row r="289" spans="1:18" x14ac:dyDescent="0.25">
      <c r="A289" t="s">
        <v>314</v>
      </c>
      <c r="B289" t="s">
        <v>325</v>
      </c>
      <c r="C289">
        <v>27</v>
      </c>
      <c r="D289" t="s">
        <v>333</v>
      </c>
      <c r="F289">
        <v>19</v>
      </c>
      <c r="G289">
        <v>19</v>
      </c>
      <c r="H289">
        <v>8</v>
      </c>
      <c r="I289">
        <v>4</v>
      </c>
      <c r="J289">
        <v>0</v>
      </c>
      <c r="K289">
        <v>0</v>
      </c>
      <c r="L289">
        <v>0</v>
      </c>
      <c r="M289">
        <v>0</v>
      </c>
      <c r="N289">
        <v>4</v>
      </c>
      <c r="O289" s="2" t="s">
        <v>2395</v>
      </c>
      <c r="P289" s="4">
        <v>1697</v>
      </c>
      <c r="Q289" t="s">
        <v>317</v>
      </c>
      <c r="R289" t="str">
        <f>IF(Table3[[#This Row],[Narodowość]]&lt;&gt;"Polska","Tak","Nie")</f>
        <v>Tak</v>
      </c>
    </row>
    <row r="290" spans="1:18" x14ac:dyDescent="0.25">
      <c r="A290" t="s">
        <v>287</v>
      </c>
      <c r="B290" t="s">
        <v>382</v>
      </c>
      <c r="C290">
        <v>29</v>
      </c>
      <c r="D290" t="s">
        <v>478</v>
      </c>
      <c r="F290">
        <v>10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s="2" t="s">
        <v>2301</v>
      </c>
      <c r="P290" s="4">
        <v>630</v>
      </c>
      <c r="Q290" t="s">
        <v>340</v>
      </c>
      <c r="R290" t="str">
        <f>IF(Table3[[#This Row],[Narodowość]]&lt;&gt;"Polska","Tak","Nie")</f>
        <v>Tak</v>
      </c>
    </row>
    <row r="291" spans="1:18" x14ac:dyDescent="0.25">
      <c r="A291" t="s">
        <v>1299</v>
      </c>
      <c r="B291" t="s">
        <v>328</v>
      </c>
      <c r="C291">
        <v>30</v>
      </c>
      <c r="D291" t="s">
        <v>370</v>
      </c>
      <c r="F291">
        <v>11</v>
      </c>
      <c r="G291">
        <v>5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4</v>
      </c>
      <c r="N291">
        <v>1</v>
      </c>
      <c r="O291" s="2" t="s">
        <v>2394</v>
      </c>
      <c r="P291" s="4">
        <v>183</v>
      </c>
      <c r="Q291" t="s">
        <v>315</v>
      </c>
      <c r="R291" t="str">
        <f>IF(Table3[[#This Row],[Narodowość]]&lt;&gt;"Polska","Tak","Nie")</f>
        <v>Tak</v>
      </c>
    </row>
    <row r="292" spans="1:18" x14ac:dyDescent="0.25">
      <c r="A292" t="s">
        <v>303</v>
      </c>
      <c r="B292" t="s">
        <v>324</v>
      </c>
      <c r="C292">
        <v>29</v>
      </c>
      <c r="D292" t="s">
        <v>336</v>
      </c>
      <c r="F292">
        <v>33</v>
      </c>
      <c r="G292">
        <v>32</v>
      </c>
      <c r="H292">
        <v>14</v>
      </c>
      <c r="I292">
        <v>8</v>
      </c>
      <c r="J292">
        <v>2</v>
      </c>
      <c r="K292">
        <v>0</v>
      </c>
      <c r="L292">
        <v>0</v>
      </c>
      <c r="M292">
        <v>4</v>
      </c>
      <c r="N292">
        <v>27</v>
      </c>
      <c r="O292" s="2" t="s">
        <v>2324</v>
      </c>
      <c r="P292" s="4">
        <v>2244</v>
      </c>
      <c r="Q292" t="s">
        <v>334</v>
      </c>
      <c r="R292" t="str">
        <f>IF(Table3[[#This Row],[Narodowość]]&lt;&gt;"Polska","Tak","Nie")</f>
        <v>Tak</v>
      </c>
    </row>
    <row r="293" spans="1:18" x14ac:dyDescent="0.25">
      <c r="A293" t="s">
        <v>127</v>
      </c>
      <c r="B293" t="s">
        <v>382</v>
      </c>
      <c r="C293">
        <v>23</v>
      </c>
      <c r="D293" t="s">
        <v>392</v>
      </c>
      <c r="E293" t="s">
        <v>347</v>
      </c>
      <c r="F293">
        <v>15</v>
      </c>
      <c r="G293">
        <v>7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1</v>
      </c>
      <c r="N293">
        <v>5</v>
      </c>
      <c r="O293" s="2" t="s">
        <v>2287</v>
      </c>
      <c r="P293" s="4">
        <v>427</v>
      </c>
      <c r="Q293" t="s">
        <v>318</v>
      </c>
      <c r="R293" t="str">
        <f>IF(Table3[[#This Row],[Narodowość]]&lt;&gt;"Polska","Tak","Nie")</f>
        <v>Tak</v>
      </c>
    </row>
    <row r="294" spans="1:18" x14ac:dyDescent="0.25">
      <c r="A294" t="s">
        <v>95</v>
      </c>
      <c r="B294" t="s">
        <v>376</v>
      </c>
      <c r="C294">
        <v>24</v>
      </c>
      <c r="D294" t="s">
        <v>336</v>
      </c>
      <c r="F294">
        <v>31</v>
      </c>
      <c r="G294">
        <v>28</v>
      </c>
      <c r="H294">
        <v>0</v>
      </c>
      <c r="I294">
        <v>7</v>
      </c>
      <c r="J294">
        <v>1</v>
      </c>
      <c r="K294">
        <v>0</v>
      </c>
      <c r="L294">
        <v>1</v>
      </c>
      <c r="M294">
        <v>8</v>
      </c>
      <c r="N294">
        <v>9</v>
      </c>
      <c r="O294" s="2" t="s">
        <v>2317</v>
      </c>
      <c r="P294" s="4">
        <v>1828</v>
      </c>
      <c r="Q294" t="s">
        <v>334</v>
      </c>
      <c r="R294" t="str">
        <f>IF(Table3[[#This Row],[Narodowość]]&lt;&gt;"Polska","Tak","Nie")</f>
        <v>Tak</v>
      </c>
    </row>
    <row r="295" spans="1:18" x14ac:dyDescent="0.25">
      <c r="A295" t="s">
        <v>47</v>
      </c>
      <c r="B295" t="s">
        <v>382</v>
      </c>
      <c r="C295">
        <v>31</v>
      </c>
      <c r="D295" t="s">
        <v>333</v>
      </c>
      <c r="F295">
        <v>17</v>
      </c>
      <c r="G295">
        <v>16</v>
      </c>
      <c r="H295">
        <v>1</v>
      </c>
      <c r="I295">
        <v>0</v>
      </c>
      <c r="J295">
        <v>1</v>
      </c>
      <c r="K295">
        <v>0</v>
      </c>
      <c r="L295">
        <v>0</v>
      </c>
      <c r="M295">
        <v>2</v>
      </c>
      <c r="N295">
        <v>2</v>
      </c>
      <c r="O295" s="2" t="s">
        <v>2283</v>
      </c>
      <c r="P295" s="4">
        <v>1261</v>
      </c>
      <c r="Q295" t="s">
        <v>319</v>
      </c>
      <c r="R295" t="str">
        <f>IF(Table3[[#This Row],[Narodowość]]&lt;&gt;"Polska","Tak","Nie")</f>
        <v>Tak</v>
      </c>
    </row>
    <row r="296" spans="1:18" x14ac:dyDescent="0.25">
      <c r="A296" t="s">
        <v>47</v>
      </c>
      <c r="B296" t="s">
        <v>382</v>
      </c>
      <c r="C296">
        <v>31</v>
      </c>
      <c r="D296" t="s">
        <v>333</v>
      </c>
      <c r="F296">
        <v>8</v>
      </c>
      <c r="G296">
        <v>5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 s="2" t="s">
        <v>2444</v>
      </c>
      <c r="P296" s="4">
        <v>450</v>
      </c>
      <c r="Q296" t="s">
        <v>348</v>
      </c>
      <c r="R296" t="str">
        <f>IF(Table3[[#This Row],[Narodowość]]&lt;&gt;"Polska","Tak","Nie")</f>
        <v>Tak</v>
      </c>
    </row>
    <row r="297" spans="1:18" x14ac:dyDescent="0.25">
      <c r="A297" t="s">
        <v>242</v>
      </c>
      <c r="B297" t="s">
        <v>382</v>
      </c>
      <c r="C297">
        <v>18</v>
      </c>
      <c r="D297" t="s">
        <v>555</v>
      </c>
      <c r="F297">
        <v>7</v>
      </c>
      <c r="G297">
        <v>2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1</v>
      </c>
      <c r="N297">
        <v>0</v>
      </c>
      <c r="O297" s="2" t="s">
        <v>2283</v>
      </c>
      <c r="P297" s="4">
        <v>91</v>
      </c>
      <c r="Q297" t="s">
        <v>332</v>
      </c>
      <c r="R297" t="str">
        <f>IF(Table3[[#This Row],[Narodowość]]&lt;&gt;"Polska","Tak","Nie")</f>
        <v>Tak</v>
      </c>
    </row>
    <row r="298" spans="1:18" x14ac:dyDescent="0.25">
      <c r="A298" t="s">
        <v>242</v>
      </c>
      <c r="B298" t="s">
        <v>382</v>
      </c>
      <c r="C298">
        <v>18</v>
      </c>
      <c r="D298" t="s">
        <v>555</v>
      </c>
      <c r="F298">
        <v>11</v>
      </c>
      <c r="G298">
        <v>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5</v>
      </c>
      <c r="N298">
        <v>0</v>
      </c>
      <c r="O298" s="2" t="s">
        <v>2314</v>
      </c>
      <c r="P298" s="4">
        <v>78</v>
      </c>
      <c r="Q298" t="s">
        <v>349</v>
      </c>
      <c r="R298" t="str">
        <f>IF(Table3[[#This Row],[Narodowość]]&lt;&gt;"Polska","Tak","Nie")</f>
        <v>Tak</v>
      </c>
    </row>
    <row r="299" spans="1:18" x14ac:dyDescent="0.25">
      <c r="A299" t="s">
        <v>275</v>
      </c>
      <c r="B299" t="s">
        <v>326</v>
      </c>
      <c r="C299">
        <v>25</v>
      </c>
      <c r="D299" t="s">
        <v>441</v>
      </c>
      <c r="E299" t="s">
        <v>336</v>
      </c>
      <c r="F299">
        <v>26</v>
      </c>
      <c r="G299">
        <v>22</v>
      </c>
      <c r="H299">
        <v>1</v>
      </c>
      <c r="I299">
        <v>2</v>
      </c>
      <c r="J299">
        <v>1</v>
      </c>
      <c r="K299">
        <v>0</v>
      </c>
      <c r="L299">
        <v>0</v>
      </c>
      <c r="M299">
        <v>11</v>
      </c>
      <c r="N299">
        <v>8</v>
      </c>
      <c r="O299" s="2" t="s">
        <v>2388</v>
      </c>
      <c r="P299" s="4">
        <v>1018</v>
      </c>
      <c r="Q299" t="s">
        <v>339</v>
      </c>
      <c r="R299" t="str">
        <f>IF(Table3[[#This Row],[Narodowość]]&lt;&gt;"Polska","Tak","Nie")</f>
        <v>Tak</v>
      </c>
    </row>
    <row r="300" spans="1:18" x14ac:dyDescent="0.25">
      <c r="A300" t="s">
        <v>111</v>
      </c>
      <c r="B300" t="s">
        <v>376</v>
      </c>
      <c r="C300">
        <v>23</v>
      </c>
      <c r="D300" t="s">
        <v>335</v>
      </c>
      <c r="E300" t="s">
        <v>405</v>
      </c>
      <c r="F300">
        <v>26</v>
      </c>
      <c r="G300">
        <v>22</v>
      </c>
      <c r="H300">
        <v>0</v>
      </c>
      <c r="I300">
        <v>4</v>
      </c>
      <c r="J300">
        <v>2</v>
      </c>
      <c r="K300">
        <v>0</v>
      </c>
      <c r="L300">
        <v>0</v>
      </c>
      <c r="M300">
        <v>2</v>
      </c>
      <c r="N300">
        <v>13</v>
      </c>
      <c r="O300" s="2" t="s">
        <v>2355</v>
      </c>
      <c r="P300" s="4">
        <v>1566</v>
      </c>
      <c r="Q300" t="s">
        <v>338</v>
      </c>
      <c r="R300" t="str">
        <f>IF(Table3[[#This Row],[Narodowość]]&lt;&gt;"Polska","Tak","Nie")</f>
        <v>Tak</v>
      </c>
    </row>
    <row r="301" spans="1:18" x14ac:dyDescent="0.25">
      <c r="A301" t="s">
        <v>255</v>
      </c>
      <c r="B301" t="s">
        <v>382</v>
      </c>
      <c r="C301">
        <v>22</v>
      </c>
      <c r="D301" t="s">
        <v>335</v>
      </c>
      <c r="E301" t="s">
        <v>405</v>
      </c>
      <c r="F301">
        <v>11</v>
      </c>
      <c r="G301">
        <v>11</v>
      </c>
      <c r="H301">
        <v>0</v>
      </c>
      <c r="I301">
        <v>0</v>
      </c>
      <c r="J301">
        <v>3</v>
      </c>
      <c r="K301">
        <v>0</v>
      </c>
      <c r="L301">
        <v>0</v>
      </c>
      <c r="M301">
        <v>0</v>
      </c>
      <c r="N301">
        <v>0</v>
      </c>
      <c r="O301" s="2" t="s">
        <v>2429</v>
      </c>
      <c r="P301" s="4">
        <v>990</v>
      </c>
      <c r="Q301" t="s">
        <v>383</v>
      </c>
      <c r="R301" t="str">
        <f>IF(Table3[[#This Row],[Narodowość]]&lt;&gt;"Polska","Tak","Nie")</f>
        <v>Tak</v>
      </c>
    </row>
    <row r="302" spans="1:18" x14ac:dyDescent="0.25">
      <c r="A302" t="s">
        <v>638</v>
      </c>
      <c r="B302" t="s">
        <v>376</v>
      </c>
      <c r="C302">
        <v>25</v>
      </c>
      <c r="D302" t="s">
        <v>364</v>
      </c>
      <c r="F302">
        <v>2</v>
      </c>
      <c r="G302">
        <v>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2</v>
      </c>
      <c r="N302">
        <v>0</v>
      </c>
      <c r="O302" s="2" t="s">
        <v>2283</v>
      </c>
      <c r="P302" s="4">
        <v>78</v>
      </c>
      <c r="Q302" t="s">
        <v>318</v>
      </c>
      <c r="R302" t="str">
        <f>IF(Table3[[#This Row],[Narodowość]]&lt;&gt;"Polska","Tak","Nie")</f>
        <v>Tak</v>
      </c>
    </row>
    <row r="303" spans="1:18" x14ac:dyDescent="0.25">
      <c r="A303" t="s">
        <v>327</v>
      </c>
      <c r="B303" t="s">
        <v>324</v>
      </c>
      <c r="C303">
        <v>30</v>
      </c>
      <c r="D303" t="s">
        <v>336</v>
      </c>
      <c r="F303">
        <v>30</v>
      </c>
      <c r="G303">
        <v>30</v>
      </c>
      <c r="H303">
        <v>2</v>
      </c>
      <c r="I303">
        <v>15</v>
      </c>
      <c r="J303">
        <v>7</v>
      </c>
      <c r="K303">
        <v>0</v>
      </c>
      <c r="L303">
        <v>1</v>
      </c>
      <c r="M303">
        <v>2</v>
      </c>
      <c r="N303">
        <v>9</v>
      </c>
      <c r="O303" s="2" t="s">
        <v>2284</v>
      </c>
      <c r="P303" s="4">
        <v>2491</v>
      </c>
      <c r="Q303" t="s">
        <v>318</v>
      </c>
      <c r="R303" t="str">
        <f>IF(Table3[[#This Row],[Narodowość]]&lt;&gt;"Polska","Tak","Nie")</f>
        <v>Tak</v>
      </c>
    </row>
    <row r="304" spans="1:18" x14ac:dyDescent="0.25">
      <c r="A304" t="s">
        <v>1952</v>
      </c>
      <c r="B304" t="s">
        <v>0</v>
      </c>
      <c r="C304">
        <v>21</v>
      </c>
      <c r="D304" t="s">
        <v>337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 s="2">
        <v>0</v>
      </c>
      <c r="P304" s="4">
        <v>0</v>
      </c>
      <c r="Q304" t="s">
        <v>345</v>
      </c>
      <c r="R304" t="str">
        <f>IF(Table3[[#This Row],[Narodowość]]&lt;&gt;"Polska","Tak","Nie")</f>
        <v>Nie</v>
      </c>
    </row>
    <row r="305" spans="1:18" x14ac:dyDescent="0.25">
      <c r="A305" t="s">
        <v>519</v>
      </c>
      <c r="B305" t="s">
        <v>331</v>
      </c>
      <c r="C305">
        <v>20</v>
      </c>
      <c r="D305" t="s">
        <v>400</v>
      </c>
      <c r="F305">
        <v>25</v>
      </c>
      <c r="G305">
        <v>14</v>
      </c>
      <c r="H305">
        <v>0</v>
      </c>
      <c r="I305">
        <v>1</v>
      </c>
      <c r="J305">
        <v>3</v>
      </c>
      <c r="K305">
        <v>0</v>
      </c>
      <c r="L305">
        <v>0</v>
      </c>
      <c r="M305">
        <v>8</v>
      </c>
      <c r="N305">
        <v>4</v>
      </c>
      <c r="O305" s="2" t="s">
        <v>2298</v>
      </c>
      <c r="P305" s="4">
        <v>539</v>
      </c>
      <c r="Q305" t="s">
        <v>318</v>
      </c>
      <c r="R305" t="str">
        <f>IF(Table3[[#This Row],[Narodowość]]&lt;&gt;"Polska","Tak","Nie")</f>
        <v>Tak</v>
      </c>
    </row>
    <row r="306" spans="1:18" x14ac:dyDescent="0.25">
      <c r="A306" t="s">
        <v>285</v>
      </c>
      <c r="B306" t="s">
        <v>0</v>
      </c>
      <c r="C306">
        <v>18</v>
      </c>
      <c r="D306" t="s">
        <v>337</v>
      </c>
      <c r="F306">
        <v>24</v>
      </c>
      <c r="G306">
        <v>10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 s="2" t="s">
        <v>2418</v>
      </c>
      <c r="P306" s="4">
        <v>900</v>
      </c>
      <c r="Q306" t="s">
        <v>340</v>
      </c>
      <c r="R306" t="str">
        <f>IF(Table3[[#This Row],[Narodowość]]&lt;&gt;"Polska","Tak","Nie")</f>
        <v>Nie</v>
      </c>
    </row>
    <row r="307" spans="1:18" x14ac:dyDescent="0.25">
      <c r="A307" t="s">
        <v>288</v>
      </c>
      <c r="B307" t="s">
        <v>328</v>
      </c>
      <c r="C307">
        <v>22</v>
      </c>
      <c r="D307" t="s">
        <v>337</v>
      </c>
      <c r="F307">
        <v>33</v>
      </c>
      <c r="G307">
        <v>32</v>
      </c>
      <c r="H307">
        <v>4</v>
      </c>
      <c r="I307">
        <v>2</v>
      </c>
      <c r="J307">
        <v>6</v>
      </c>
      <c r="K307">
        <v>0</v>
      </c>
      <c r="L307">
        <v>0</v>
      </c>
      <c r="M307">
        <v>3</v>
      </c>
      <c r="N307">
        <v>7</v>
      </c>
      <c r="O307" s="2" t="s">
        <v>2378</v>
      </c>
      <c r="P307" s="4">
        <v>2617</v>
      </c>
      <c r="Q307" t="s">
        <v>340</v>
      </c>
      <c r="R307" t="str">
        <f>IF(Table3[[#This Row],[Narodowość]]&lt;&gt;"Polska","Tak","Nie")</f>
        <v>Nie</v>
      </c>
    </row>
    <row r="308" spans="1:18" x14ac:dyDescent="0.25">
      <c r="A308" t="s">
        <v>168</v>
      </c>
      <c r="B308" t="s">
        <v>325</v>
      </c>
      <c r="C308">
        <v>21</v>
      </c>
      <c r="D308" t="s">
        <v>337</v>
      </c>
      <c r="F308">
        <v>6</v>
      </c>
      <c r="G308">
        <v>3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3</v>
      </c>
      <c r="N308">
        <v>0</v>
      </c>
      <c r="O308" s="2" t="s">
        <v>2291</v>
      </c>
      <c r="P308" s="4">
        <v>53</v>
      </c>
      <c r="Q308" t="s">
        <v>318</v>
      </c>
      <c r="R308" t="str">
        <f>IF(Table3[[#This Row],[Narodowość]]&lt;&gt;"Polska","Tak","Nie")</f>
        <v>Nie</v>
      </c>
    </row>
    <row r="309" spans="1:18" x14ac:dyDescent="0.25">
      <c r="A309" t="s">
        <v>168</v>
      </c>
      <c r="B309" t="s">
        <v>325</v>
      </c>
      <c r="C309">
        <v>21</v>
      </c>
      <c r="D309" t="s">
        <v>337</v>
      </c>
      <c r="F309">
        <v>4</v>
      </c>
      <c r="G309">
        <v>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4</v>
      </c>
      <c r="N309">
        <v>0</v>
      </c>
      <c r="O309" s="2" t="s">
        <v>2283</v>
      </c>
      <c r="P309" s="4">
        <v>41</v>
      </c>
      <c r="Q309" t="s">
        <v>341</v>
      </c>
      <c r="R309" t="str">
        <f>IF(Table3[[#This Row],[Narodowość]]&lt;&gt;"Polska","Tak","Nie")</f>
        <v>Nie</v>
      </c>
    </row>
    <row r="310" spans="1:18" x14ac:dyDescent="0.25">
      <c r="A310" t="s">
        <v>375</v>
      </c>
      <c r="B310" t="s">
        <v>330</v>
      </c>
      <c r="C310">
        <v>17</v>
      </c>
      <c r="D310" t="s">
        <v>337</v>
      </c>
      <c r="F310">
        <v>16</v>
      </c>
      <c r="G310">
        <v>16</v>
      </c>
      <c r="H310">
        <v>3</v>
      </c>
      <c r="I310">
        <v>4</v>
      </c>
      <c r="J310">
        <v>1</v>
      </c>
      <c r="K310">
        <v>0</v>
      </c>
      <c r="L310">
        <v>0</v>
      </c>
      <c r="M310">
        <v>4</v>
      </c>
      <c r="N310">
        <v>11</v>
      </c>
      <c r="O310" s="2" t="s">
        <v>2326</v>
      </c>
      <c r="P310" s="4">
        <v>925</v>
      </c>
      <c r="Q310" t="s">
        <v>341</v>
      </c>
      <c r="R310" t="str">
        <f>IF(Table3[[#This Row],[Narodowość]]&lt;&gt;"Polska","Tak","Nie")</f>
        <v>Nie</v>
      </c>
    </row>
    <row r="311" spans="1:18" x14ac:dyDescent="0.25">
      <c r="A311" t="s">
        <v>1800</v>
      </c>
      <c r="B311" t="s">
        <v>382</v>
      </c>
      <c r="C311">
        <v>19</v>
      </c>
      <c r="D311" t="s">
        <v>337</v>
      </c>
      <c r="F311">
        <v>10</v>
      </c>
      <c r="G311">
        <v>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</v>
      </c>
      <c r="N311">
        <v>0</v>
      </c>
      <c r="O311" s="2" t="s">
        <v>2291</v>
      </c>
      <c r="P311" s="4">
        <v>226</v>
      </c>
      <c r="Q311" t="s">
        <v>340</v>
      </c>
      <c r="R311" t="str">
        <f>IF(Table3[[#This Row],[Narodowość]]&lt;&gt;"Polska","Tak","Nie")</f>
        <v>Nie</v>
      </c>
    </row>
    <row r="312" spans="1:18" x14ac:dyDescent="0.25">
      <c r="A312" t="s">
        <v>1025</v>
      </c>
      <c r="B312" t="s">
        <v>324</v>
      </c>
      <c r="C312">
        <v>17</v>
      </c>
      <c r="D312" t="s">
        <v>337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P312" s="4">
        <v>0</v>
      </c>
      <c r="Q312" t="s">
        <v>341</v>
      </c>
      <c r="R312" t="str">
        <f>IF(Table3[[#This Row],[Narodowość]]&lt;&gt;"Polska","Tak","Nie")</f>
        <v>Nie</v>
      </c>
    </row>
    <row r="313" spans="1:18" x14ac:dyDescent="0.25">
      <c r="A313" t="s">
        <v>294</v>
      </c>
      <c r="B313" t="s">
        <v>324</v>
      </c>
      <c r="C313">
        <v>16</v>
      </c>
      <c r="D313" t="s">
        <v>337</v>
      </c>
      <c r="F313">
        <v>2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 s="2" t="s">
        <v>2291</v>
      </c>
      <c r="P313" s="4">
        <v>0</v>
      </c>
      <c r="Q313" t="s">
        <v>340</v>
      </c>
      <c r="R313" t="str">
        <f>IF(Table3[[#This Row],[Narodowość]]&lt;&gt;"Polska","Tak","Nie")</f>
        <v>Nie</v>
      </c>
    </row>
    <row r="314" spans="1:18" x14ac:dyDescent="0.25">
      <c r="A314" t="s">
        <v>1423</v>
      </c>
      <c r="B314" t="s">
        <v>352</v>
      </c>
      <c r="C314">
        <v>21</v>
      </c>
      <c r="D314" t="s">
        <v>337</v>
      </c>
      <c r="F314">
        <v>3</v>
      </c>
      <c r="G314">
        <v>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1</v>
      </c>
      <c r="O314" s="2" t="s">
        <v>2291</v>
      </c>
      <c r="P314" s="4">
        <v>166</v>
      </c>
      <c r="Q314" t="s">
        <v>317</v>
      </c>
      <c r="R314" t="str">
        <f>IF(Table3[[#This Row],[Narodowość]]&lt;&gt;"Polska","Tak","Nie")</f>
        <v>Nie</v>
      </c>
    </row>
    <row r="315" spans="1:18" x14ac:dyDescent="0.25">
      <c r="A315" t="s">
        <v>234</v>
      </c>
      <c r="B315" t="s">
        <v>382</v>
      </c>
      <c r="C315">
        <v>20</v>
      </c>
      <c r="D315" t="s">
        <v>337</v>
      </c>
      <c r="F315">
        <v>2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 s="2">
        <v>0</v>
      </c>
      <c r="P315" s="4">
        <v>0</v>
      </c>
      <c r="Q315" t="s">
        <v>345</v>
      </c>
      <c r="R315" t="str">
        <f>IF(Table3[[#This Row],[Narodowość]]&lt;&gt;"Polska","Tak","Nie")</f>
        <v>Nie</v>
      </c>
    </row>
    <row r="316" spans="1:18" x14ac:dyDescent="0.25">
      <c r="A316" t="s">
        <v>2130</v>
      </c>
      <c r="B316" t="s">
        <v>0</v>
      </c>
      <c r="C316">
        <v>26</v>
      </c>
      <c r="D316" t="s">
        <v>337</v>
      </c>
      <c r="F316">
        <v>3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 s="2">
        <v>0</v>
      </c>
      <c r="P316" s="4">
        <v>0</v>
      </c>
      <c r="Q316" t="s">
        <v>383</v>
      </c>
      <c r="R316" t="str">
        <f>IF(Table3[[#This Row],[Narodowość]]&lt;&gt;"Polska","Tak","Nie")</f>
        <v>Nie</v>
      </c>
    </row>
    <row r="317" spans="1:18" x14ac:dyDescent="0.25">
      <c r="A317" t="s">
        <v>1873</v>
      </c>
      <c r="B317" t="s">
        <v>324</v>
      </c>
      <c r="C317">
        <v>18</v>
      </c>
      <c r="D317" t="s">
        <v>337</v>
      </c>
      <c r="F317">
        <v>9</v>
      </c>
      <c r="G317">
        <v>2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2</v>
      </c>
      <c r="N317">
        <v>0</v>
      </c>
      <c r="O317" s="2" t="s">
        <v>2291</v>
      </c>
      <c r="P317" s="4">
        <v>16</v>
      </c>
      <c r="Q317" t="s">
        <v>319</v>
      </c>
      <c r="R317" t="str">
        <f>IF(Table3[[#This Row],[Narodowość]]&lt;&gt;"Polska","Tak","Nie")</f>
        <v>Nie</v>
      </c>
    </row>
    <row r="318" spans="1:18" x14ac:dyDescent="0.25">
      <c r="A318" t="s">
        <v>122</v>
      </c>
      <c r="B318" t="s">
        <v>325</v>
      </c>
      <c r="C318">
        <v>18</v>
      </c>
      <c r="D318" t="s">
        <v>337</v>
      </c>
      <c r="F318">
        <v>30</v>
      </c>
      <c r="G318">
        <v>26</v>
      </c>
      <c r="H318">
        <v>1</v>
      </c>
      <c r="I318">
        <v>6</v>
      </c>
      <c r="J318">
        <v>5</v>
      </c>
      <c r="K318">
        <v>0</v>
      </c>
      <c r="L318">
        <v>0</v>
      </c>
      <c r="M318">
        <v>18</v>
      </c>
      <c r="N318">
        <v>7</v>
      </c>
      <c r="O318" s="2" t="s">
        <v>2363</v>
      </c>
      <c r="P318" s="4">
        <v>907</v>
      </c>
      <c r="Q318" t="s">
        <v>338</v>
      </c>
      <c r="R318" t="str">
        <f>IF(Table3[[#This Row],[Narodowość]]&lt;&gt;"Polska","Tak","Nie")</f>
        <v>Nie</v>
      </c>
    </row>
    <row r="319" spans="1:18" x14ac:dyDescent="0.25">
      <c r="A319" t="s">
        <v>135</v>
      </c>
      <c r="B319" t="s">
        <v>352</v>
      </c>
      <c r="C319">
        <v>19</v>
      </c>
      <c r="D319" t="s">
        <v>337</v>
      </c>
      <c r="F319">
        <v>30</v>
      </c>
      <c r="G319">
        <v>17</v>
      </c>
      <c r="H319">
        <v>0</v>
      </c>
      <c r="I319">
        <v>2</v>
      </c>
      <c r="J319">
        <v>1</v>
      </c>
      <c r="K319">
        <v>0</v>
      </c>
      <c r="L319">
        <v>0</v>
      </c>
      <c r="M319">
        <v>6</v>
      </c>
      <c r="N319">
        <v>9</v>
      </c>
      <c r="O319" s="2" t="s">
        <v>2300</v>
      </c>
      <c r="P319" s="4">
        <v>850</v>
      </c>
      <c r="Q319" t="s">
        <v>318</v>
      </c>
      <c r="R319" t="str">
        <f>IF(Table3[[#This Row],[Narodowość]]&lt;&gt;"Polska","Tak","Nie")</f>
        <v>Nie</v>
      </c>
    </row>
    <row r="320" spans="1:18" x14ac:dyDescent="0.25">
      <c r="A320" t="s">
        <v>2145</v>
      </c>
      <c r="B320" t="s">
        <v>382</v>
      </c>
      <c r="C320">
        <v>16</v>
      </c>
      <c r="D320" t="s">
        <v>337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 s="2">
        <v>0</v>
      </c>
      <c r="P320" s="4">
        <v>0</v>
      </c>
      <c r="Q320" t="s">
        <v>383</v>
      </c>
      <c r="R320" t="str">
        <f>IF(Table3[[#This Row],[Narodowość]]&lt;&gt;"Polska","Tak","Nie")</f>
        <v>Nie</v>
      </c>
    </row>
    <row r="321" spans="1:18" x14ac:dyDescent="0.25">
      <c r="A321" t="s">
        <v>706</v>
      </c>
      <c r="B321" t="s">
        <v>326</v>
      </c>
      <c r="C321">
        <v>18</v>
      </c>
      <c r="D321" t="s">
        <v>337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 s="2">
        <v>0</v>
      </c>
      <c r="P321" s="4">
        <v>0</v>
      </c>
      <c r="Q321" t="s">
        <v>318</v>
      </c>
      <c r="R321" t="str">
        <f>IF(Table3[[#This Row],[Narodowość]]&lt;&gt;"Polska","Tak","Nie")</f>
        <v>Nie</v>
      </c>
    </row>
    <row r="322" spans="1:18" x14ac:dyDescent="0.25">
      <c r="A322" t="s">
        <v>527</v>
      </c>
      <c r="B322" t="s">
        <v>330</v>
      </c>
      <c r="C322">
        <v>20</v>
      </c>
      <c r="D322" t="s">
        <v>337</v>
      </c>
      <c r="F322">
        <v>9</v>
      </c>
      <c r="G322">
        <v>7</v>
      </c>
      <c r="H322">
        <v>0</v>
      </c>
      <c r="I322">
        <v>1</v>
      </c>
      <c r="J322">
        <v>1</v>
      </c>
      <c r="K322">
        <v>0</v>
      </c>
      <c r="L322">
        <v>0</v>
      </c>
      <c r="M322">
        <v>3</v>
      </c>
      <c r="N322">
        <v>5</v>
      </c>
      <c r="O322" s="2" t="s">
        <v>2314</v>
      </c>
      <c r="P322" s="4">
        <v>347</v>
      </c>
      <c r="Q322" t="s">
        <v>341</v>
      </c>
      <c r="R322" t="str">
        <f>IF(Table3[[#This Row],[Narodowość]]&lt;&gt;"Polska","Tak","Nie")</f>
        <v>Nie</v>
      </c>
    </row>
    <row r="323" spans="1:18" x14ac:dyDescent="0.25">
      <c r="A323" t="s">
        <v>447</v>
      </c>
      <c r="B323" t="s">
        <v>325</v>
      </c>
      <c r="C323">
        <v>21</v>
      </c>
      <c r="D323" t="s">
        <v>337</v>
      </c>
      <c r="F323">
        <v>31</v>
      </c>
      <c r="G323">
        <v>28</v>
      </c>
      <c r="H323">
        <v>2</v>
      </c>
      <c r="I323">
        <v>0</v>
      </c>
      <c r="J323">
        <v>2</v>
      </c>
      <c r="K323">
        <v>0</v>
      </c>
      <c r="L323">
        <v>0</v>
      </c>
      <c r="M323">
        <v>15</v>
      </c>
      <c r="N323">
        <v>9</v>
      </c>
      <c r="O323" s="2" t="s">
        <v>2302</v>
      </c>
      <c r="P323" s="4">
        <v>1352</v>
      </c>
      <c r="Q323" t="s">
        <v>316</v>
      </c>
      <c r="R323" t="str">
        <f>IF(Table3[[#This Row],[Narodowość]]&lt;&gt;"Polska","Tak","Nie")</f>
        <v>Nie</v>
      </c>
    </row>
    <row r="324" spans="1:18" x14ac:dyDescent="0.25">
      <c r="A324" t="s">
        <v>1703</v>
      </c>
      <c r="B324" t="s">
        <v>376</v>
      </c>
      <c r="C324">
        <v>21</v>
      </c>
      <c r="D324" t="s">
        <v>337</v>
      </c>
      <c r="F324">
        <v>30</v>
      </c>
      <c r="G324">
        <v>18</v>
      </c>
      <c r="H324">
        <v>0</v>
      </c>
      <c r="I324">
        <v>0</v>
      </c>
      <c r="J324">
        <v>4</v>
      </c>
      <c r="K324">
        <v>0</v>
      </c>
      <c r="L324">
        <v>0</v>
      </c>
      <c r="M324">
        <v>12</v>
      </c>
      <c r="N324">
        <v>6</v>
      </c>
      <c r="O324" s="2" t="s">
        <v>2386</v>
      </c>
      <c r="P324" s="4">
        <v>535</v>
      </c>
      <c r="Q324" t="s">
        <v>361</v>
      </c>
      <c r="R324" t="str">
        <f>IF(Table3[[#This Row],[Narodowość]]&lt;&gt;"Polska","Tak","Nie")</f>
        <v>Nie</v>
      </c>
    </row>
    <row r="325" spans="1:18" x14ac:dyDescent="0.25">
      <c r="A325" t="s">
        <v>583</v>
      </c>
      <c r="B325" t="s">
        <v>0</v>
      </c>
      <c r="C325">
        <v>18</v>
      </c>
      <c r="D325" t="s">
        <v>337</v>
      </c>
      <c r="F325">
        <v>16</v>
      </c>
      <c r="G325">
        <v>4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 s="2" t="s">
        <v>2279</v>
      </c>
      <c r="P325" s="4">
        <v>360</v>
      </c>
      <c r="Q325" t="s">
        <v>318</v>
      </c>
      <c r="R325" t="str">
        <f>IF(Table3[[#This Row],[Narodowość]]&lt;&gt;"Polska","Tak","Nie")</f>
        <v>Nie</v>
      </c>
    </row>
    <row r="326" spans="1:18" x14ac:dyDescent="0.25">
      <c r="A326" t="s">
        <v>188</v>
      </c>
      <c r="B326" t="s">
        <v>0</v>
      </c>
      <c r="C326">
        <v>17</v>
      </c>
      <c r="D326" t="s">
        <v>337</v>
      </c>
      <c r="F326">
        <v>34</v>
      </c>
      <c r="G326">
        <v>7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 s="2" t="s">
        <v>2332</v>
      </c>
      <c r="P326" s="4">
        <v>630</v>
      </c>
      <c r="Q326" t="s">
        <v>332</v>
      </c>
      <c r="R326" t="str">
        <f>IF(Table3[[#This Row],[Narodowość]]&lt;&gt;"Polska","Tak","Nie")</f>
        <v>Nie</v>
      </c>
    </row>
    <row r="327" spans="1:18" x14ac:dyDescent="0.25">
      <c r="A327" t="s">
        <v>547</v>
      </c>
      <c r="B327" t="s">
        <v>0</v>
      </c>
      <c r="C327">
        <v>24</v>
      </c>
      <c r="D327" t="s">
        <v>557</v>
      </c>
      <c r="E327" t="s">
        <v>337</v>
      </c>
      <c r="F327">
        <v>6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 s="2">
        <v>0</v>
      </c>
      <c r="P327" s="4">
        <v>0</v>
      </c>
      <c r="Q327" t="s">
        <v>319</v>
      </c>
      <c r="R327" t="str">
        <f>IF(Table3[[#This Row],[Narodowość]]&lt;&gt;"Polska","Tak","Nie")</f>
        <v>Tak</v>
      </c>
    </row>
    <row r="328" spans="1:18" x14ac:dyDescent="0.25">
      <c r="A328" t="s">
        <v>253</v>
      </c>
      <c r="B328" t="s">
        <v>324</v>
      </c>
      <c r="C328">
        <v>19</v>
      </c>
      <c r="D328" t="s">
        <v>337</v>
      </c>
      <c r="F328">
        <v>11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6</v>
      </c>
      <c r="N328">
        <v>0</v>
      </c>
      <c r="O328" s="2" t="s">
        <v>2349</v>
      </c>
      <c r="P328" s="4">
        <v>79</v>
      </c>
      <c r="Q328" t="s">
        <v>349</v>
      </c>
      <c r="R328" t="str">
        <f>IF(Table3[[#This Row],[Narodowość]]&lt;&gt;"Polska","Tak","Nie")</f>
        <v>Nie</v>
      </c>
    </row>
    <row r="329" spans="1:18" x14ac:dyDescent="0.25">
      <c r="A329" t="s">
        <v>162</v>
      </c>
      <c r="B329" t="s">
        <v>331</v>
      </c>
      <c r="C329">
        <v>29</v>
      </c>
      <c r="D329" t="s">
        <v>337</v>
      </c>
      <c r="F329">
        <v>29</v>
      </c>
      <c r="G329">
        <v>24</v>
      </c>
      <c r="H329">
        <v>7</v>
      </c>
      <c r="I329">
        <v>1</v>
      </c>
      <c r="J329">
        <v>7</v>
      </c>
      <c r="K329">
        <v>0</v>
      </c>
      <c r="L329">
        <v>0</v>
      </c>
      <c r="M329">
        <v>11</v>
      </c>
      <c r="N329">
        <v>10</v>
      </c>
      <c r="O329" s="2" t="s">
        <v>2342</v>
      </c>
      <c r="P329" s="4">
        <v>1118</v>
      </c>
      <c r="Q329" t="s">
        <v>341</v>
      </c>
      <c r="R329" t="str">
        <f>IF(Table3[[#This Row],[Narodowość]]&lt;&gt;"Polska","Tak","Nie")</f>
        <v>Nie</v>
      </c>
    </row>
    <row r="330" spans="1:18" x14ac:dyDescent="0.25">
      <c r="A330" t="s">
        <v>1876</v>
      </c>
      <c r="B330" t="s">
        <v>325</v>
      </c>
      <c r="C330">
        <v>19</v>
      </c>
      <c r="D330" t="s">
        <v>337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 s="2">
        <v>0</v>
      </c>
      <c r="P330" s="4">
        <v>0</v>
      </c>
      <c r="Q330" t="s">
        <v>319</v>
      </c>
      <c r="R330" t="str">
        <f>IF(Table3[[#This Row],[Narodowość]]&lt;&gt;"Polska","Tak","Nie")</f>
        <v>Nie</v>
      </c>
    </row>
    <row r="331" spans="1:18" x14ac:dyDescent="0.25">
      <c r="A331" t="s">
        <v>165</v>
      </c>
      <c r="B331" t="s">
        <v>326</v>
      </c>
      <c r="C331">
        <v>33</v>
      </c>
      <c r="D331" t="s">
        <v>337</v>
      </c>
      <c r="F331">
        <v>26</v>
      </c>
      <c r="G331">
        <v>26</v>
      </c>
      <c r="H331">
        <v>9</v>
      </c>
      <c r="I331">
        <v>6</v>
      </c>
      <c r="J331">
        <v>3</v>
      </c>
      <c r="K331">
        <v>0</v>
      </c>
      <c r="L331">
        <v>0</v>
      </c>
      <c r="M331">
        <v>5</v>
      </c>
      <c r="N331">
        <v>15</v>
      </c>
      <c r="O331" s="2" t="s">
        <v>2352</v>
      </c>
      <c r="P331" s="4">
        <v>1838</v>
      </c>
      <c r="Q331" t="s">
        <v>341</v>
      </c>
      <c r="R331" t="str">
        <f>IF(Table3[[#This Row],[Narodowość]]&lt;&gt;"Polska","Tak","Nie")</f>
        <v>Nie</v>
      </c>
    </row>
    <row r="332" spans="1:18" x14ac:dyDescent="0.25">
      <c r="A332" t="s">
        <v>1867</v>
      </c>
      <c r="B332" t="s">
        <v>382</v>
      </c>
      <c r="C332">
        <v>29</v>
      </c>
      <c r="D332" t="s">
        <v>337</v>
      </c>
      <c r="F332">
        <v>13</v>
      </c>
      <c r="G332">
        <v>8</v>
      </c>
      <c r="H332">
        <v>0</v>
      </c>
      <c r="I332">
        <v>0</v>
      </c>
      <c r="J332">
        <v>2</v>
      </c>
      <c r="K332">
        <v>0</v>
      </c>
      <c r="L332">
        <v>0</v>
      </c>
      <c r="M332">
        <v>8</v>
      </c>
      <c r="N332">
        <v>1</v>
      </c>
      <c r="O332" s="2" t="s">
        <v>2283</v>
      </c>
      <c r="P332" s="4">
        <v>143</v>
      </c>
      <c r="Q332" t="s">
        <v>319</v>
      </c>
      <c r="R332" t="str">
        <f>IF(Table3[[#This Row],[Narodowość]]&lt;&gt;"Polska","Tak","Nie")</f>
        <v>Nie</v>
      </c>
    </row>
    <row r="333" spans="1:18" x14ac:dyDescent="0.25">
      <c r="A333" t="s">
        <v>290</v>
      </c>
      <c r="B333" t="s">
        <v>382</v>
      </c>
      <c r="C333">
        <v>21</v>
      </c>
      <c r="D333" t="s">
        <v>337</v>
      </c>
      <c r="F333">
        <v>18</v>
      </c>
      <c r="G333">
        <v>13</v>
      </c>
      <c r="H333">
        <v>1</v>
      </c>
      <c r="I333">
        <v>0</v>
      </c>
      <c r="J333">
        <v>4</v>
      </c>
      <c r="K333">
        <v>0</v>
      </c>
      <c r="L333">
        <v>0</v>
      </c>
      <c r="M333">
        <v>0</v>
      </c>
      <c r="N333">
        <v>0</v>
      </c>
      <c r="O333" s="2" t="s">
        <v>2421</v>
      </c>
      <c r="P333" s="4">
        <v>1170</v>
      </c>
      <c r="Q333" t="s">
        <v>340</v>
      </c>
      <c r="R333" t="str">
        <f>IF(Table3[[#This Row],[Narodowość]]&lt;&gt;"Polska","Tak","Nie")</f>
        <v>Nie</v>
      </c>
    </row>
    <row r="334" spans="1:18" x14ac:dyDescent="0.25">
      <c r="A334" t="s">
        <v>1488</v>
      </c>
      <c r="B334" t="s">
        <v>325</v>
      </c>
      <c r="C334">
        <v>20</v>
      </c>
      <c r="D334" t="s">
        <v>337</v>
      </c>
      <c r="F334">
        <v>20</v>
      </c>
      <c r="G334">
        <v>9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8</v>
      </c>
      <c r="N334">
        <v>1</v>
      </c>
      <c r="O334" s="2" t="s">
        <v>2301</v>
      </c>
      <c r="P334" s="4">
        <v>260</v>
      </c>
      <c r="Q334" t="s">
        <v>23</v>
      </c>
      <c r="R334" t="str">
        <f>IF(Table3[[#This Row],[Narodowość]]&lt;&gt;"Polska","Tak","Nie")</f>
        <v>Nie</v>
      </c>
    </row>
    <row r="335" spans="1:18" x14ac:dyDescent="0.25">
      <c r="A335" t="s">
        <v>52</v>
      </c>
      <c r="B335" t="s">
        <v>382</v>
      </c>
      <c r="C335">
        <v>23</v>
      </c>
      <c r="D335" t="s">
        <v>337</v>
      </c>
      <c r="F335">
        <v>19</v>
      </c>
      <c r="G335">
        <v>12</v>
      </c>
      <c r="H335">
        <v>0</v>
      </c>
      <c r="I335">
        <v>0</v>
      </c>
      <c r="J335">
        <v>2</v>
      </c>
      <c r="K335">
        <v>0</v>
      </c>
      <c r="L335">
        <v>0</v>
      </c>
      <c r="M335">
        <v>2</v>
      </c>
      <c r="N335">
        <v>2</v>
      </c>
      <c r="O335" s="2" t="s">
        <v>2430</v>
      </c>
      <c r="P335" s="4">
        <v>901</v>
      </c>
      <c r="Q335" t="s">
        <v>348</v>
      </c>
      <c r="R335" t="str">
        <f>IF(Table3[[#This Row],[Narodowość]]&lt;&gt;"Polska","Tak","Nie")</f>
        <v>Nie</v>
      </c>
    </row>
    <row r="336" spans="1:18" x14ac:dyDescent="0.25">
      <c r="A336" t="s">
        <v>30</v>
      </c>
      <c r="B336" t="s">
        <v>359</v>
      </c>
      <c r="C336">
        <v>22</v>
      </c>
      <c r="D336" t="s">
        <v>337</v>
      </c>
      <c r="F336">
        <v>31</v>
      </c>
      <c r="G336">
        <v>27</v>
      </c>
      <c r="H336">
        <v>4</v>
      </c>
      <c r="I336">
        <v>2</v>
      </c>
      <c r="J336">
        <v>3</v>
      </c>
      <c r="K336">
        <v>1</v>
      </c>
      <c r="L336">
        <v>0</v>
      </c>
      <c r="M336">
        <v>4</v>
      </c>
      <c r="N336">
        <v>6</v>
      </c>
      <c r="O336" s="2" t="s">
        <v>2403</v>
      </c>
      <c r="P336" s="4">
        <v>2033</v>
      </c>
      <c r="Q336" t="s">
        <v>23</v>
      </c>
      <c r="R336" t="str">
        <f>IF(Table3[[#This Row],[Narodowość]]&lt;&gt;"Polska","Tak","Nie")</f>
        <v>Nie</v>
      </c>
    </row>
    <row r="337" spans="1:18" x14ac:dyDescent="0.25">
      <c r="A337" t="s">
        <v>1802</v>
      </c>
      <c r="B337" t="s">
        <v>382</v>
      </c>
      <c r="C337">
        <v>18</v>
      </c>
      <c r="D337" t="s">
        <v>337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 s="2">
        <v>0</v>
      </c>
      <c r="P337" s="4">
        <v>0</v>
      </c>
      <c r="Q337" t="s">
        <v>340</v>
      </c>
      <c r="R337" t="str">
        <f>IF(Table3[[#This Row],[Narodowość]]&lt;&gt;"Polska","Tak","Nie")</f>
        <v>Nie</v>
      </c>
    </row>
    <row r="338" spans="1:18" x14ac:dyDescent="0.25">
      <c r="A338" t="s">
        <v>155</v>
      </c>
      <c r="B338" t="s">
        <v>325</v>
      </c>
      <c r="C338">
        <v>33</v>
      </c>
      <c r="D338" t="s">
        <v>337</v>
      </c>
      <c r="F338">
        <v>13</v>
      </c>
      <c r="G338">
        <v>13</v>
      </c>
      <c r="H338">
        <v>5</v>
      </c>
      <c r="I338">
        <v>0</v>
      </c>
      <c r="J338">
        <v>2</v>
      </c>
      <c r="K338">
        <v>0</v>
      </c>
      <c r="L338">
        <v>0</v>
      </c>
      <c r="M338">
        <v>1</v>
      </c>
      <c r="N338">
        <v>9</v>
      </c>
      <c r="O338" s="2" t="s">
        <v>2337</v>
      </c>
      <c r="P338" s="4">
        <v>963</v>
      </c>
      <c r="Q338" t="s">
        <v>344</v>
      </c>
      <c r="R338" t="str">
        <f>IF(Table3[[#This Row],[Narodowość]]&lt;&gt;"Polska","Tak","Nie")</f>
        <v>Nie</v>
      </c>
    </row>
    <row r="339" spans="1:18" x14ac:dyDescent="0.25">
      <c r="A339" t="s">
        <v>783</v>
      </c>
      <c r="B339" t="s">
        <v>331</v>
      </c>
      <c r="C339">
        <v>25</v>
      </c>
      <c r="D339" t="s">
        <v>364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 s="2">
        <v>0</v>
      </c>
      <c r="P339" s="4">
        <v>0</v>
      </c>
      <c r="Q339" t="s">
        <v>334</v>
      </c>
      <c r="R339" t="str">
        <f>IF(Table3[[#This Row],[Narodowość]]&lt;&gt;"Polska","Tak","Nie")</f>
        <v>Tak</v>
      </c>
    </row>
    <row r="340" spans="1:18" x14ac:dyDescent="0.25">
      <c r="A340" t="s">
        <v>185</v>
      </c>
      <c r="B340" t="s">
        <v>325</v>
      </c>
      <c r="C340">
        <v>25</v>
      </c>
      <c r="D340" t="s">
        <v>337</v>
      </c>
      <c r="F340">
        <v>34</v>
      </c>
      <c r="G340">
        <v>34</v>
      </c>
      <c r="H340">
        <v>18</v>
      </c>
      <c r="I340">
        <v>1</v>
      </c>
      <c r="J340">
        <v>2</v>
      </c>
      <c r="K340">
        <v>1</v>
      </c>
      <c r="L340">
        <v>0</v>
      </c>
      <c r="M340">
        <v>8</v>
      </c>
      <c r="N340">
        <v>18</v>
      </c>
      <c r="O340" s="2" t="s">
        <v>2355</v>
      </c>
      <c r="P340" s="4">
        <v>2378</v>
      </c>
      <c r="Q340" t="s">
        <v>315</v>
      </c>
      <c r="R340" t="str">
        <f>IF(Table3[[#This Row],[Narodowość]]&lt;&gt;"Polska","Tak","Nie")</f>
        <v>Nie</v>
      </c>
    </row>
    <row r="341" spans="1:18" x14ac:dyDescent="0.25">
      <c r="A341" t="s">
        <v>227</v>
      </c>
      <c r="B341" t="s">
        <v>324</v>
      </c>
      <c r="C341">
        <v>14</v>
      </c>
      <c r="D341" t="s">
        <v>337</v>
      </c>
      <c r="F341">
        <v>1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0</v>
      </c>
      <c r="O341" s="2" t="s">
        <v>2291</v>
      </c>
      <c r="P341" s="4">
        <v>17</v>
      </c>
      <c r="Q341" t="s">
        <v>345</v>
      </c>
      <c r="R341" t="str">
        <f>IF(Table3[[#This Row],[Narodowość]]&lt;&gt;"Polska","Tak","Nie")</f>
        <v>Nie</v>
      </c>
    </row>
    <row r="342" spans="1:18" x14ac:dyDescent="0.25">
      <c r="A342" t="s">
        <v>36</v>
      </c>
      <c r="B342" t="s">
        <v>331</v>
      </c>
      <c r="C342">
        <v>19</v>
      </c>
      <c r="D342" t="s">
        <v>337</v>
      </c>
      <c r="F342">
        <v>27</v>
      </c>
      <c r="G342">
        <v>23</v>
      </c>
      <c r="H342">
        <v>0</v>
      </c>
      <c r="I342">
        <v>1</v>
      </c>
      <c r="J342">
        <v>3</v>
      </c>
      <c r="K342">
        <v>0</v>
      </c>
      <c r="L342">
        <v>0</v>
      </c>
      <c r="M342">
        <v>10</v>
      </c>
      <c r="N342">
        <v>11</v>
      </c>
      <c r="O342" s="2" t="s">
        <v>2404</v>
      </c>
      <c r="P342" s="4">
        <v>1166</v>
      </c>
      <c r="Q342" t="s">
        <v>23</v>
      </c>
      <c r="R342" t="str">
        <f>IF(Table3[[#This Row],[Narodowość]]&lt;&gt;"Polska","Tak","Nie")</f>
        <v>Nie</v>
      </c>
    </row>
    <row r="343" spans="1:18" x14ac:dyDescent="0.25">
      <c r="A343" t="s">
        <v>24</v>
      </c>
      <c r="B343" t="s">
        <v>0</v>
      </c>
      <c r="C343">
        <v>21</v>
      </c>
      <c r="D343" t="s">
        <v>337</v>
      </c>
      <c r="F343">
        <v>34</v>
      </c>
      <c r="G343">
        <v>14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 s="2" t="s">
        <v>2400</v>
      </c>
      <c r="P343" s="4">
        <v>1260</v>
      </c>
      <c r="Q343" t="s">
        <v>23</v>
      </c>
      <c r="R343" t="str">
        <f>IF(Table3[[#This Row],[Narodowość]]&lt;&gt;"Polska","Tak","Nie")</f>
        <v>Nie</v>
      </c>
    </row>
    <row r="344" spans="1:18" x14ac:dyDescent="0.25">
      <c r="A344" t="s">
        <v>635</v>
      </c>
      <c r="B344" t="s">
        <v>382</v>
      </c>
      <c r="C344">
        <v>21</v>
      </c>
      <c r="D344" t="s">
        <v>337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s="2">
        <v>0</v>
      </c>
      <c r="P344" s="4">
        <v>0</v>
      </c>
      <c r="Q344" t="s">
        <v>318</v>
      </c>
      <c r="R344" t="str">
        <f>IF(Table3[[#This Row],[Narodowość]]&lt;&gt;"Polska","Tak","Nie")</f>
        <v>Nie</v>
      </c>
    </row>
    <row r="345" spans="1:18" x14ac:dyDescent="0.25">
      <c r="A345" t="s">
        <v>466</v>
      </c>
      <c r="B345" t="s">
        <v>325</v>
      </c>
      <c r="C345">
        <v>23</v>
      </c>
      <c r="D345" t="s">
        <v>337</v>
      </c>
      <c r="F345">
        <v>29</v>
      </c>
      <c r="G345">
        <v>20</v>
      </c>
      <c r="H345">
        <v>0</v>
      </c>
      <c r="I345">
        <v>2</v>
      </c>
      <c r="J345">
        <v>0</v>
      </c>
      <c r="K345">
        <v>0</v>
      </c>
      <c r="L345">
        <v>0</v>
      </c>
      <c r="M345">
        <v>16</v>
      </c>
      <c r="N345">
        <v>3</v>
      </c>
      <c r="O345" s="2" t="s">
        <v>2307</v>
      </c>
      <c r="P345" s="4">
        <v>620</v>
      </c>
      <c r="Q345" t="s">
        <v>340</v>
      </c>
      <c r="R345" t="str">
        <f>IF(Table3[[#This Row],[Narodowość]]&lt;&gt;"Polska","Tak","Nie")</f>
        <v>Nie</v>
      </c>
    </row>
    <row r="346" spans="1:18" x14ac:dyDescent="0.25">
      <c r="A346" t="s">
        <v>85</v>
      </c>
      <c r="B346" t="s">
        <v>330</v>
      </c>
      <c r="C346">
        <v>20</v>
      </c>
      <c r="D346" t="s">
        <v>337</v>
      </c>
      <c r="F346">
        <v>31</v>
      </c>
      <c r="G346">
        <v>28</v>
      </c>
      <c r="H346">
        <v>1</v>
      </c>
      <c r="I346">
        <v>2</v>
      </c>
      <c r="J346">
        <v>7</v>
      </c>
      <c r="K346">
        <v>0</v>
      </c>
      <c r="L346">
        <v>0</v>
      </c>
      <c r="M346">
        <v>9</v>
      </c>
      <c r="N346">
        <v>16</v>
      </c>
      <c r="O346" s="2" t="s">
        <v>2285</v>
      </c>
      <c r="P346" s="4">
        <v>1603</v>
      </c>
      <c r="Q346" t="s">
        <v>361</v>
      </c>
      <c r="R346" t="str">
        <f>IF(Table3[[#This Row],[Narodowość]]&lt;&gt;"Polska","Tak","Nie")</f>
        <v>Nie</v>
      </c>
    </row>
    <row r="347" spans="1:18" x14ac:dyDescent="0.25">
      <c r="A347" t="s">
        <v>1135</v>
      </c>
      <c r="B347" t="s">
        <v>0</v>
      </c>
      <c r="C347">
        <v>28</v>
      </c>
      <c r="D347" t="s">
        <v>337</v>
      </c>
      <c r="F347">
        <v>31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 s="2" t="s">
        <v>2301</v>
      </c>
      <c r="P347" s="4">
        <v>90</v>
      </c>
      <c r="Q347" t="s">
        <v>344</v>
      </c>
      <c r="R347" t="str">
        <f>IF(Table3[[#This Row],[Narodowość]]&lt;&gt;"Polska","Tak","Nie")</f>
        <v>Nie</v>
      </c>
    </row>
    <row r="348" spans="1:18" x14ac:dyDescent="0.25">
      <c r="A348" t="s">
        <v>293</v>
      </c>
      <c r="B348" t="s">
        <v>324</v>
      </c>
      <c r="C348">
        <v>20</v>
      </c>
      <c r="D348" t="s">
        <v>460</v>
      </c>
      <c r="F348">
        <v>8</v>
      </c>
      <c r="G348">
        <v>7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2</v>
      </c>
      <c r="N348">
        <v>4</v>
      </c>
      <c r="O348" s="2" t="s">
        <v>2357</v>
      </c>
      <c r="P348" s="4">
        <v>448</v>
      </c>
      <c r="Q348" t="s">
        <v>340</v>
      </c>
      <c r="R348" t="str">
        <f>IF(Table3[[#This Row],[Narodowość]]&lt;&gt;"Polska","Tak","Nie")</f>
        <v>Tak</v>
      </c>
    </row>
    <row r="349" spans="1:18" x14ac:dyDescent="0.25">
      <c r="A349" t="s">
        <v>293</v>
      </c>
      <c r="B349" t="s">
        <v>324</v>
      </c>
      <c r="C349">
        <v>20</v>
      </c>
      <c r="D349" t="s">
        <v>460</v>
      </c>
      <c r="F349">
        <v>15</v>
      </c>
      <c r="G349">
        <v>14</v>
      </c>
      <c r="H349">
        <v>1</v>
      </c>
      <c r="I349">
        <v>1</v>
      </c>
      <c r="J349">
        <v>1</v>
      </c>
      <c r="K349">
        <v>0</v>
      </c>
      <c r="L349">
        <v>0</v>
      </c>
      <c r="M349">
        <v>5</v>
      </c>
      <c r="N349">
        <v>7</v>
      </c>
      <c r="O349" s="2" t="s">
        <v>2283</v>
      </c>
      <c r="P349" s="4">
        <v>794</v>
      </c>
      <c r="Q349" t="s">
        <v>319</v>
      </c>
      <c r="R349" t="str">
        <f>IF(Table3[[#This Row],[Narodowość]]&lt;&gt;"Polska","Tak","Nie")</f>
        <v>Tak</v>
      </c>
    </row>
    <row r="350" spans="1:18" x14ac:dyDescent="0.25">
      <c r="A350" t="s">
        <v>257</v>
      </c>
      <c r="B350" t="s">
        <v>376</v>
      </c>
      <c r="C350">
        <v>20</v>
      </c>
      <c r="D350" t="s">
        <v>337</v>
      </c>
      <c r="F350">
        <v>31</v>
      </c>
      <c r="G350">
        <v>30</v>
      </c>
      <c r="H350">
        <v>2</v>
      </c>
      <c r="I350">
        <v>3</v>
      </c>
      <c r="J350">
        <v>8</v>
      </c>
      <c r="K350">
        <v>0</v>
      </c>
      <c r="L350">
        <v>0</v>
      </c>
      <c r="M350">
        <v>2</v>
      </c>
      <c r="N350">
        <v>13</v>
      </c>
      <c r="O350" s="2" t="s">
        <v>2441</v>
      </c>
      <c r="P350" s="4">
        <v>2465</v>
      </c>
      <c r="Q350" t="s">
        <v>383</v>
      </c>
      <c r="R350" t="str">
        <f>IF(Table3[[#This Row],[Narodowość]]&lt;&gt;"Polska","Tak","Nie")</f>
        <v>Nie</v>
      </c>
    </row>
    <row r="351" spans="1:18" x14ac:dyDescent="0.25">
      <c r="A351" t="s">
        <v>1870</v>
      </c>
      <c r="B351" t="s">
        <v>331</v>
      </c>
      <c r="C351">
        <v>17</v>
      </c>
      <c r="D351" t="s">
        <v>337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 s="2">
        <v>0</v>
      </c>
      <c r="P351" s="4">
        <v>0</v>
      </c>
      <c r="Q351" t="s">
        <v>319</v>
      </c>
      <c r="R351" t="str">
        <f>IF(Table3[[#This Row],[Narodowość]]&lt;&gt;"Polska","Tak","Nie")</f>
        <v>Nie</v>
      </c>
    </row>
    <row r="352" spans="1:18" x14ac:dyDescent="0.25">
      <c r="A352" t="s">
        <v>246</v>
      </c>
      <c r="B352" t="s">
        <v>359</v>
      </c>
      <c r="C352">
        <v>19</v>
      </c>
      <c r="D352" t="s">
        <v>337</v>
      </c>
      <c r="F352">
        <v>32</v>
      </c>
      <c r="G352">
        <v>25</v>
      </c>
      <c r="H352">
        <v>1</v>
      </c>
      <c r="I352">
        <v>1</v>
      </c>
      <c r="J352">
        <v>4</v>
      </c>
      <c r="K352">
        <v>0</v>
      </c>
      <c r="L352">
        <v>0</v>
      </c>
      <c r="M352">
        <v>11</v>
      </c>
      <c r="N352">
        <v>6</v>
      </c>
      <c r="O352" s="2" t="s">
        <v>2392</v>
      </c>
      <c r="P352" s="4">
        <v>1416</v>
      </c>
      <c r="Q352" t="s">
        <v>349</v>
      </c>
      <c r="R352" t="str">
        <f>IF(Table3[[#This Row],[Narodowość]]&lt;&gt;"Polska","Tak","Nie")</f>
        <v>Nie</v>
      </c>
    </row>
    <row r="353" spans="1:18" x14ac:dyDescent="0.25">
      <c r="A353" t="s">
        <v>224</v>
      </c>
      <c r="B353" t="s">
        <v>382</v>
      </c>
      <c r="C353">
        <v>23</v>
      </c>
      <c r="D353" t="s">
        <v>337</v>
      </c>
      <c r="F353">
        <v>17</v>
      </c>
      <c r="G353">
        <v>4</v>
      </c>
      <c r="H353">
        <v>0</v>
      </c>
      <c r="I353">
        <v>0</v>
      </c>
      <c r="J353">
        <v>1</v>
      </c>
      <c r="K353">
        <v>0</v>
      </c>
      <c r="L353">
        <v>1</v>
      </c>
      <c r="M353">
        <v>2</v>
      </c>
      <c r="N353">
        <v>0</v>
      </c>
      <c r="O353" s="2" t="s">
        <v>2292</v>
      </c>
      <c r="P353" s="4">
        <v>158</v>
      </c>
      <c r="Q353" t="s">
        <v>345</v>
      </c>
      <c r="R353" t="str">
        <f>IF(Table3[[#This Row],[Narodowość]]&lt;&gt;"Polska","Tak","Nie")</f>
        <v>Nie</v>
      </c>
    </row>
    <row r="354" spans="1:18" x14ac:dyDescent="0.25">
      <c r="A354" t="s">
        <v>509</v>
      </c>
      <c r="B354" t="s">
        <v>328</v>
      </c>
      <c r="C354">
        <v>27</v>
      </c>
      <c r="D354" t="s">
        <v>337</v>
      </c>
      <c r="F354">
        <v>23</v>
      </c>
      <c r="G354">
        <v>18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12</v>
      </c>
      <c r="N354">
        <v>6</v>
      </c>
      <c r="O354" s="2" t="s">
        <v>2301</v>
      </c>
      <c r="P354" s="4">
        <v>648</v>
      </c>
      <c r="Q354" t="s">
        <v>319</v>
      </c>
      <c r="R354" t="str">
        <f>IF(Table3[[#This Row],[Narodowość]]&lt;&gt;"Polska","Tak","Nie")</f>
        <v>Nie</v>
      </c>
    </row>
    <row r="355" spans="1:18" x14ac:dyDescent="0.25">
      <c r="A355" t="s">
        <v>415</v>
      </c>
      <c r="B355" t="s">
        <v>382</v>
      </c>
      <c r="C355">
        <v>28</v>
      </c>
      <c r="D355" t="s">
        <v>394</v>
      </c>
      <c r="F355">
        <v>30</v>
      </c>
      <c r="G355">
        <v>30</v>
      </c>
      <c r="H355">
        <v>3</v>
      </c>
      <c r="I355">
        <v>0</v>
      </c>
      <c r="J355">
        <v>4</v>
      </c>
      <c r="K355">
        <v>0</v>
      </c>
      <c r="L355">
        <v>0</v>
      </c>
      <c r="M355">
        <v>0</v>
      </c>
      <c r="N355">
        <v>2</v>
      </c>
      <c r="O355" s="2" t="s">
        <v>2349</v>
      </c>
      <c r="P355" s="4">
        <v>2671</v>
      </c>
      <c r="Q355" t="s">
        <v>341</v>
      </c>
      <c r="R355" t="str">
        <f>IF(Table3[[#This Row],[Narodowość]]&lt;&gt;"Polska","Tak","Nie")</f>
        <v>Tak</v>
      </c>
    </row>
    <row r="356" spans="1:18" x14ac:dyDescent="0.25">
      <c r="A356" t="s">
        <v>110</v>
      </c>
      <c r="B356" t="s">
        <v>331</v>
      </c>
      <c r="C356">
        <v>20</v>
      </c>
      <c r="D356" t="s">
        <v>343</v>
      </c>
      <c r="F356">
        <v>22</v>
      </c>
      <c r="G356">
        <v>11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7</v>
      </c>
      <c r="N356">
        <v>1</v>
      </c>
      <c r="O356" s="2" t="s">
        <v>2360</v>
      </c>
      <c r="P356" s="4">
        <v>397</v>
      </c>
      <c r="Q356" t="s">
        <v>338</v>
      </c>
      <c r="R356" t="str">
        <f>IF(Table3[[#This Row],[Narodowość]]&lt;&gt;"Polska","Tak","Nie")</f>
        <v>Tak</v>
      </c>
    </row>
    <row r="357" spans="1:18" x14ac:dyDescent="0.25">
      <c r="A357" t="s">
        <v>272</v>
      </c>
      <c r="B357" t="s">
        <v>328</v>
      </c>
      <c r="C357">
        <v>23</v>
      </c>
      <c r="D357" t="s">
        <v>350</v>
      </c>
      <c r="F357">
        <v>32</v>
      </c>
      <c r="G357">
        <v>27</v>
      </c>
      <c r="H357">
        <v>1</v>
      </c>
      <c r="I357">
        <v>4</v>
      </c>
      <c r="J357">
        <v>2</v>
      </c>
      <c r="K357">
        <v>0</v>
      </c>
      <c r="L357">
        <v>0</v>
      </c>
      <c r="M357">
        <v>5</v>
      </c>
      <c r="N357">
        <v>13</v>
      </c>
      <c r="O357" s="2" t="s">
        <v>2355</v>
      </c>
      <c r="P357" s="4">
        <v>1912</v>
      </c>
      <c r="Q357" t="s">
        <v>339</v>
      </c>
      <c r="R357" t="str">
        <f>IF(Table3[[#This Row],[Narodowość]]&lt;&gt;"Polska","Tak","Nie")</f>
        <v>Tak</v>
      </c>
    </row>
    <row r="358" spans="1:18" x14ac:dyDescent="0.25">
      <c r="A358" t="s">
        <v>103</v>
      </c>
      <c r="B358" t="s">
        <v>326</v>
      </c>
      <c r="C358">
        <v>21</v>
      </c>
      <c r="D358" t="s">
        <v>531</v>
      </c>
      <c r="F358">
        <v>11</v>
      </c>
      <c r="G358">
        <v>8</v>
      </c>
      <c r="H358">
        <v>0</v>
      </c>
      <c r="I358">
        <v>1</v>
      </c>
      <c r="J358">
        <v>0</v>
      </c>
      <c r="K358">
        <v>0</v>
      </c>
      <c r="L358">
        <v>0</v>
      </c>
      <c r="M358">
        <v>3</v>
      </c>
      <c r="N358">
        <v>5</v>
      </c>
      <c r="O358" s="2" t="s">
        <v>2331</v>
      </c>
      <c r="P358" s="4">
        <v>340</v>
      </c>
      <c r="Q358" t="s">
        <v>334</v>
      </c>
      <c r="R358" t="str">
        <f>IF(Table3[[#This Row],[Narodowość]]&lt;&gt;"Polska","Tak","Nie")</f>
        <v>Tak</v>
      </c>
    </row>
    <row r="359" spans="1:18" x14ac:dyDescent="0.25">
      <c r="A359" t="s">
        <v>151</v>
      </c>
      <c r="B359" t="s">
        <v>326</v>
      </c>
      <c r="C359">
        <v>26</v>
      </c>
      <c r="D359" t="s">
        <v>401</v>
      </c>
      <c r="F359">
        <v>30</v>
      </c>
      <c r="G359">
        <v>26</v>
      </c>
      <c r="H359">
        <v>3</v>
      </c>
      <c r="I359">
        <v>1</v>
      </c>
      <c r="J359">
        <v>4</v>
      </c>
      <c r="K359">
        <v>0</v>
      </c>
      <c r="L359">
        <v>0</v>
      </c>
      <c r="M359">
        <v>9</v>
      </c>
      <c r="N359">
        <v>12</v>
      </c>
      <c r="O359" s="2" t="s">
        <v>2374</v>
      </c>
      <c r="P359" s="4">
        <v>1340</v>
      </c>
      <c r="Q359" t="s">
        <v>344</v>
      </c>
      <c r="R359" t="str">
        <f>IF(Table3[[#This Row],[Narodowość]]&lt;&gt;"Polska","Tak","Nie")</f>
        <v>Tak</v>
      </c>
    </row>
    <row r="360" spans="1:18" x14ac:dyDescent="0.25">
      <c r="A360" t="s">
        <v>2218</v>
      </c>
      <c r="B360" t="s">
        <v>382</v>
      </c>
      <c r="C360">
        <v>20</v>
      </c>
      <c r="D360" t="s">
        <v>337</v>
      </c>
      <c r="F360">
        <v>32</v>
      </c>
      <c r="G360">
        <v>25</v>
      </c>
      <c r="H360">
        <v>0</v>
      </c>
      <c r="I360">
        <v>0</v>
      </c>
      <c r="J360">
        <v>7</v>
      </c>
      <c r="K360">
        <v>1</v>
      </c>
      <c r="L360">
        <v>0</v>
      </c>
      <c r="M360">
        <v>3</v>
      </c>
      <c r="N360">
        <v>2</v>
      </c>
      <c r="O360" s="2" t="s">
        <v>2443</v>
      </c>
      <c r="P360" s="4">
        <v>2043</v>
      </c>
      <c r="Q360" t="s">
        <v>348</v>
      </c>
      <c r="R360" t="str">
        <f>IF(Table3[[#This Row],[Narodowość]]&lt;&gt;"Polska","Tak","Nie")</f>
        <v>Nie</v>
      </c>
    </row>
    <row r="361" spans="1:18" x14ac:dyDescent="0.25">
      <c r="A361" t="s">
        <v>2043</v>
      </c>
      <c r="B361" t="s">
        <v>0</v>
      </c>
      <c r="C361">
        <v>19</v>
      </c>
      <c r="D361" t="s">
        <v>337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 s="2">
        <v>0</v>
      </c>
      <c r="P361" s="4">
        <v>0</v>
      </c>
      <c r="Q361" t="s">
        <v>316</v>
      </c>
      <c r="R361" t="str">
        <f>IF(Table3[[#This Row],[Narodowość]]&lt;&gt;"Polska","Tak","Nie")</f>
        <v>Nie</v>
      </c>
    </row>
    <row r="362" spans="1:18" x14ac:dyDescent="0.25">
      <c r="A362" t="s">
        <v>1477</v>
      </c>
      <c r="B362" t="s">
        <v>382</v>
      </c>
      <c r="C362">
        <v>20</v>
      </c>
      <c r="D362" t="s">
        <v>337</v>
      </c>
      <c r="F362">
        <v>4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 s="2" t="s">
        <v>2296</v>
      </c>
      <c r="P362" s="4">
        <v>0</v>
      </c>
      <c r="Q362" t="s">
        <v>23</v>
      </c>
      <c r="R362" t="str">
        <f>IF(Table3[[#This Row],[Narodowość]]&lt;&gt;"Polska","Tak","Nie")</f>
        <v>Nie</v>
      </c>
    </row>
    <row r="363" spans="1:18" x14ac:dyDescent="0.25">
      <c r="A363" t="s">
        <v>207</v>
      </c>
      <c r="B363" t="s">
        <v>359</v>
      </c>
      <c r="C363">
        <v>32</v>
      </c>
      <c r="D363" t="s">
        <v>337</v>
      </c>
      <c r="F363">
        <v>31</v>
      </c>
      <c r="G363">
        <v>31</v>
      </c>
      <c r="H363">
        <v>2</v>
      </c>
      <c r="I363">
        <v>6</v>
      </c>
      <c r="J363">
        <v>8</v>
      </c>
      <c r="K363">
        <v>0</v>
      </c>
      <c r="L363">
        <v>1</v>
      </c>
      <c r="M363">
        <v>0</v>
      </c>
      <c r="N363">
        <v>2</v>
      </c>
      <c r="O363" s="2" t="s">
        <v>2425</v>
      </c>
      <c r="P363" s="4">
        <v>2707</v>
      </c>
      <c r="Q363" t="s">
        <v>319</v>
      </c>
      <c r="R363" t="str">
        <f>IF(Table3[[#This Row],[Narodowość]]&lt;&gt;"Polska","Tak","Nie")</f>
        <v>Nie</v>
      </c>
    </row>
    <row r="364" spans="1:18" x14ac:dyDescent="0.25">
      <c r="A364" t="s">
        <v>94</v>
      </c>
      <c r="B364" t="s">
        <v>357</v>
      </c>
      <c r="C364">
        <v>17</v>
      </c>
      <c r="D364" t="s">
        <v>337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 s="2">
        <v>0</v>
      </c>
      <c r="P364" s="4">
        <v>0</v>
      </c>
      <c r="Q364" t="s">
        <v>334</v>
      </c>
      <c r="R364" t="str">
        <f>IF(Table3[[#This Row],[Narodowość]]&lt;&gt;"Polska","Tak","Nie")</f>
        <v>Nie</v>
      </c>
    </row>
    <row r="365" spans="1:18" x14ac:dyDescent="0.25">
      <c r="A365" t="s">
        <v>2151</v>
      </c>
      <c r="B365" t="s">
        <v>357</v>
      </c>
      <c r="C365">
        <v>19</v>
      </c>
      <c r="D365" t="s">
        <v>337</v>
      </c>
      <c r="F365">
        <v>9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 s="2" t="s">
        <v>2291</v>
      </c>
      <c r="P365" s="4">
        <v>0</v>
      </c>
      <c r="Q365" t="s">
        <v>383</v>
      </c>
      <c r="R365" t="str">
        <f>IF(Table3[[#This Row],[Narodowość]]&lt;&gt;"Polska","Tak","Nie")</f>
        <v>Nie</v>
      </c>
    </row>
    <row r="366" spans="1:18" x14ac:dyDescent="0.25">
      <c r="A366" t="s">
        <v>747</v>
      </c>
      <c r="B366" t="s">
        <v>0</v>
      </c>
      <c r="C366">
        <v>18</v>
      </c>
      <c r="D366" t="s">
        <v>337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 s="2">
        <v>0</v>
      </c>
      <c r="P366" s="4">
        <v>0</v>
      </c>
      <c r="Q366" t="s">
        <v>334</v>
      </c>
      <c r="R366" t="str">
        <f>IF(Table3[[#This Row],[Narodowość]]&lt;&gt;"Polska","Tak","Nie")</f>
        <v>Nie</v>
      </c>
    </row>
    <row r="367" spans="1:18" x14ac:dyDescent="0.25">
      <c r="A367" t="s">
        <v>1216</v>
      </c>
      <c r="B367" t="s">
        <v>0</v>
      </c>
      <c r="C367">
        <v>30</v>
      </c>
      <c r="D367" t="s">
        <v>337</v>
      </c>
      <c r="F367">
        <v>32</v>
      </c>
      <c r="G367">
        <v>29</v>
      </c>
      <c r="H367">
        <v>0</v>
      </c>
      <c r="I367">
        <v>0</v>
      </c>
      <c r="J367">
        <v>2</v>
      </c>
      <c r="K367">
        <v>0</v>
      </c>
      <c r="L367">
        <v>0</v>
      </c>
      <c r="M367">
        <v>0</v>
      </c>
      <c r="N367">
        <v>0</v>
      </c>
      <c r="O367" s="2" t="s">
        <v>2373</v>
      </c>
      <c r="P367" s="4">
        <v>2610</v>
      </c>
      <c r="Q367" t="s">
        <v>339</v>
      </c>
      <c r="R367" t="str">
        <f>IF(Table3[[#This Row],[Narodowość]]&lt;&gt;"Polska","Tak","Nie")</f>
        <v>Nie</v>
      </c>
    </row>
    <row r="368" spans="1:18" x14ac:dyDescent="0.25">
      <c r="A368" t="s">
        <v>65</v>
      </c>
      <c r="B368" t="s">
        <v>330</v>
      </c>
      <c r="C368">
        <v>21</v>
      </c>
      <c r="D368" t="s">
        <v>337</v>
      </c>
      <c r="F368">
        <v>33</v>
      </c>
      <c r="G368">
        <v>30</v>
      </c>
      <c r="H368">
        <v>9</v>
      </c>
      <c r="I368">
        <v>3</v>
      </c>
      <c r="J368">
        <v>5</v>
      </c>
      <c r="K368">
        <v>0</v>
      </c>
      <c r="L368">
        <v>0</v>
      </c>
      <c r="M368">
        <v>2</v>
      </c>
      <c r="N368">
        <v>25</v>
      </c>
      <c r="O368" s="2" t="s">
        <v>2387</v>
      </c>
      <c r="P368" s="4">
        <v>2103</v>
      </c>
      <c r="Q368" t="s">
        <v>317</v>
      </c>
      <c r="R368" t="str">
        <f>IF(Table3[[#This Row],[Narodowość]]&lt;&gt;"Polska","Tak","Nie")</f>
        <v>Nie</v>
      </c>
    </row>
    <row r="369" spans="1:18" x14ac:dyDescent="0.25">
      <c r="A369" t="s">
        <v>476</v>
      </c>
      <c r="B369" t="s">
        <v>330</v>
      </c>
      <c r="C369">
        <v>34</v>
      </c>
      <c r="D369" t="s">
        <v>337</v>
      </c>
      <c r="F369">
        <v>30</v>
      </c>
      <c r="G369">
        <v>30</v>
      </c>
      <c r="H369">
        <v>0</v>
      </c>
      <c r="I369">
        <v>2</v>
      </c>
      <c r="J369">
        <v>8</v>
      </c>
      <c r="K369">
        <v>0</v>
      </c>
      <c r="L369">
        <v>0</v>
      </c>
      <c r="M369">
        <v>5</v>
      </c>
      <c r="N369">
        <v>7</v>
      </c>
      <c r="O369" s="2" t="s">
        <v>2412</v>
      </c>
      <c r="P369" s="4">
        <v>2193</v>
      </c>
      <c r="Q369" t="s">
        <v>345</v>
      </c>
      <c r="R369" t="str">
        <f>IF(Table3[[#This Row],[Narodowość]]&lt;&gt;"Polska","Tak","Nie")</f>
        <v>Nie</v>
      </c>
    </row>
    <row r="370" spans="1:18" x14ac:dyDescent="0.25">
      <c r="A370" t="s">
        <v>1730</v>
      </c>
      <c r="B370" t="s">
        <v>324</v>
      </c>
      <c r="C370">
        <v>19</v>
      </c>
      <c r="D370" t="s">
        <v>337</v>
      </c>
      <c r="F370">
        <v>12</v>
      </c>
      <c r="G370">
        <v>5</v>
      </c>
      <c r="H370">
        <v>0</v>
      </c>
      <c r="I370">
        <v>0</v>
      </c>
      <c r="J370">
        <v>2</v>
      </c>
      <c r="K370">
        <v>0</v>
      </c>
      <c r="L370">
        <v>0</v>
      </c>
      <c r="M370">
        <v>3</v>
      </c>
      <c r="N370">
        <v>2</v>
      </c>
      <c r="O370" s="2" t="s">
        <v>2280</v>
      </c>
      <c r="P370" s="4">
        <v>163</v>
      </c>
      <c r="Q370" t="s">
        <v>361</v>
      </c>
      <c r="R370" t="str">
        <f>IF(Table3[[#This Row],[Narodowość]]&lt;&gt;"Polska","Tak","Nie")</f>
        <v>Nie</v>
      </c>
    </row>
    <row r="371" spans="1:18" x14ac:dyDescent="0.25">
      <c r="A371" t="s">
        <v>1398</v>
      </c>
      <c r="B371" t="s">
        <v>382</v>
      </c>
      <c r="C371">
        <v>18</v>
      </c>
      <c r="D371" t="s">
        <v>337</v>
      </c>
      <c r="F371">
        <v>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 s="2">
        <v>0</v>
      </c>
      <c r="P371" s="4">
        <v>0</v>
      </c>
      <c r="Q371" t="s">
        <v>317</v>
      </c>
      <c r="R371" t="str">
        <f>IF(Table3[[#This Row],[Narodowość]]&lt;&gt;"Polska","Tak","Nie")</f>
        <v>Nie</v>
      </c>
    </row>
    <row r="372" spans="1:18" x14ac:dyDescent="0.25">
      <c r="A372" t="s">
        <v>50</v>
      </c>
      <c r="B372" t="s">
        <v>382</v>
      </c>
      <c r="C372">
        <v>37</v>
      </c>
      <c r="D372" t="s">
        <v>370</v>
      </c>
      <c r="E372" t="s">
        <v>337</v>
      </c>
      <c r="F372">
        <v>33</v>
      </c>
      <c r="G372">
        <v>31</v>
      </c>
      <c r="H372">
        <v>0</v>
      </c>
      <c r="I372">
        <v>1</v>
      </c>
      <c r="J372">
        <v>1</v>
      </c>
      <c r="K372">
        <v>0</v>
      </c>
      <c r="L372">
        <v>0</v>
      </c>
      <c r="M372">
        <v>4</v>
      </c>
      <c r="N372">
        <v>2</v>
      </c>
      <c r="O372" s="2" t="s">
        <v>2442</v>
      </c>
      <c r="P372" s="4">
        <v>2474</v>
      </c>
      <c r="Q372" t="s">
        <v>348</v>
      </c>
      <c r="R372" t="str">
        <f>IF(Table3[[#This Row],[Narodowość]]&lt;&gt;"Polska","Tak","Nie")</f>
        <v>Tak</v>
      </c>
    </row>
    <row r="373" spans="1:18" x14ac:dyDescent="0.25">
      <c r="A373" t="s">
        <v>379</v>
      </c>
      <c r="B373" t="s">
        <v>328</v>
      </c>
      <c r="C373">
        <v>32</v>
      </c>
      <c r="D373" t="s">
        <v>370</v>
      </c>
      <c r="E373" t="s">
        <v>337</v>
      </c>
      <c r="F373">
        <v>33</v>
      </c>
      <c r="G373">
        <v>33</v>
      </c>
      <c r="H373">
        <v>4</v>
      </c>
      <c r="I373">
        <v>2</v>
      </c>
      <c r="J373">
        <v>3</v>
      </c>
      <c r="K373">
        <v>0</v>
      </c>
      <c r="L373">
        <v>0</v>
      </c>
      <c r="M373">
        <v>1</v>
      </c>
      <c r="N373">
        <v>22</v>
      </c>
      <c r="O373" s="2" t="s">
        <v>2366</v>
      </c>
      <c r="P373" s="4">
        <v>2638</v>
      </c>
      <c r="Q373" t="s">
        <v>315</v>
      </c>
      <c r="R373" t="str">
        <f>IF(Table3[[#This Row],[Narodowość]]&lt;&gt;"Polska","Tak","Nie")</f>
        <v>Tak</v>
      </c>
    </row>
    <row r="374" spans="1:18" x14ac:dyDescent="0.25">
      <c r="A374" t="s">
        <v>131</v>
      </c>
      <c r="B374" t="s">
        <v>382</v>
      </c>
      <c r="C374">
        <v>29</v>
      </c>
      <c r="D374" t="s">
        <v>556</v>
      </c>
      <c r="E374" t="s">
        <v>480</v>
      </c>
      <c r="F374">
        <v>27</v>
      </c>
      <c r="G374">
        <v>19</v>
      </c>
      <c r="H374">
        <v>0</v>
      </c>
      <c r="I374">
        <v>0</v>
      </c>
      <c r="J374">
        <v>2</v>
      </c>
      <c r="K374">
        <v>0</v>
      </c>
      <c r="L374">
        <v>0</v>
      </c>
      <c r="M374">
        <v>3</v>
      </c>
      <c r="N374">
        <v>2</v>
      </c>
      <c r="O374" s="2" t="s">
        <v>2288</v>
      </c>
      <c r="P374" s="4">
        <v>1513</v>
      </c>
      <c r="Q374" t="s">
        <v>318</v>
      </c>
      <c r="R374" t="str">
        <f>IF(Table3[[#This Row],[Narodowość]]&lt;&gt;"Polska","Tak","Nie")</f>
        <v>Tak</v>
      </c>
    </row>
    <row r="375" spans="1:18" x14ac:dyDescent="0.25">
      <c r="A375" t="s">
        <v>134</v>
      </c>
      <c r="B375" t="s">
        <v>328</v>
      </c>
      <c r="C375">
        <v>22</v>
      </c>
      <c r="D375" t="s">
        <v>453</v>
      </c>
      <c r="E375" t="s">
        <v>400</v>
      </c>
      <c r="F375">
        <v>17</v>
      </c>
      <c r="G375">
        <v>15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10</v>
      </c>
      <c r="N375">
        <v>5</v>
      </c>
      <c r="O375" s="2" t="s">
        <v>2284</v>
      </c>
      <c r="P375" s="4">
        <v>472</v>
      </c>
      <c r="Q375" t="s">
        <v>318</v>
      </c>
      <c r="R375" t="str">
        <f>IF(Table3[[#This Row],[Narodowość]]&lt;&gt;"Polska","Tak","Nie")</f>
        <v>Tak</v>
      </c>
    </row>
    <row r="376" spans="1:18" x14ac:dyDescent="0.25">
      <c r="A376" t="s">
        <v>493</v>
      </c>
      <c r="B376" t="s">
        <v>382</v>
      </c>
      <c r="C376">
        <v>24</v>
      </c>
      <c r="D376" t="s">
        <v>364</v>
      </c>
      <c r="F376">
        <v>7</v>
      </c>
      <c r="G376">
        <v>7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1</v>
      </c>
      <c r="O376" s="2" t="s">
        <v>2377</v>
      </c>
      <c r="P376" s="4">
        <v>607</v>
      </c>
      <c r="Q376" t="s">
        <v>340</v>
      </c>
      <c r="R376" t="str">
        <f>IF(Table3[[#This Row],[Narodowość]]&lt;&gt;"Polska","Tak","Nie")</f>
        <v>Tak</v>
      </c>
    </row>
    <row r="377" spans="1:18" x14ac:dyDescent="0.25">
      <c r="A377" t="s">
        <v>546</v>
      </c>
      <c r="B377" t="s">
        <v>352</v>
      </c>
      <c r="C377">
        <v>26</v>
      </c>
      <c r="D377" t="s">
        <v>552</v>
      </c>
      <c r="F377">
        <v>1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1</v>
      </c>
      <c r="O377" s="2" t="s">
        <v>2301</v>
      </c>
      <c r="P377" s="4">
        <v>46</v>
      </c>
      <c r="Q377" t="s">
        <v>345</v>
      </c>
      <c r="R377" t="str">
        <f>IF(Table3[[#This Row],[Narodowość]]&lt;&gt;"Polska","Tak","Nie")</f>
        <v>Tak</v>
      </c>
    </row>
    <row r="378" spans="1:18" x14ac:dyDescent="0.25">
      <c r="A378" t="s">
        <v>98</v>
      </c>
      <c r="B378" t="s">
        <v>382</v>
      </c>
      <c r="C378">
        <v>25</v>
      </c>
      <c r="D378" t="s">
        <v>350</v>
      </c>
      <c r="F378">
        <v>29</v>
      </c>
      <c r="G378">
        <v>25</v>
      </c>
      <c r="H378">
        <v>1</v>
      </c>
      <c r="I378">
        <v>2</v>
      </c>
      <c r="J378">
        <v>2</v>
      </c>
      <c r="K378">
        <v>0</v>
      </c>
      <c r="L378">
        <v>0</v>
      </c>
      <c r="M378">
        <v>3</v>
      </c>
      <c r="N378">
        <v>2</v>
      </c>
      <c r="O378" s="2" t="s">
        <v>2319</v>
      </c>
      <c r="P378" s="4">
        <v>1967</v>
      </c>
      <c r="Q378" t="s">
        <v>334</v>
      </c>
      <c r="R378" t="str">
        <f>IF(Table3[[#This Row],[Narodowość]]&lt;&gt;"Polska","Tak","Nie")</f>
        <v>Tak</v>
      </c>
    </row>
    <row r="379" spans="1:18" x14ac:dyDescent="0.25">
      <c r="A379" t="s">
        <v>402</v>
      </c>
      <c r="B379" t="s">
        <v>324</v>
      </c>
      <c r="C379">
        <v>27</v>
      </c>
      <c r="D379" t="s">
        <v>333</v>
      </c>
      <c r="F379">
        <v>9</v>
      </c>
      <c r="G379">
        <v>9</v>
      </c>
      <c r="H379">
        <v>3</v>
      </c>
      <c r="I379">
        <v>1</v>
      </c>
      <c r="J379">
        <v>1</v>
      </c>
      <c r="K379">
        <v>0</v>
      </c>
      <c r="L379">
        <v>0</v>
      </c>
      <c r="M379">
        <v>3</v>
      </c>
      <c r="N379">
        <v>2</v>
      </c>
      <c r="O379" s="2" t="s">
        <v>2434</v>
      </c>
      <c r="P379" s="4">
        <v>623</v>
      </c>
      <c r="Q379" t="s">
        <v>383</v>
      </c>
      <c r="R379" t="str">
        <f>IF(Table3[[#This Row],[Narodowość]]&lt;&gt;"Polska","Tak","Nie")</f>
        <v>Tak</v>
      </c>
    </row>
    <row r="380" spans="1:18" x14ac:dyDescent="0.25">
      <c r="A380" t="s">
        <v>406</v>
      </c>
      <c r="B380" t="s">
        <v>326</v>
      </c>
      <c r="C380">
        <v>28</v>
      </c>
      <c r="D380" t="s">
        <v>336</v>
      </c>
      <c r="F380">
        <v>31</v>
      </c>
      <c r="G380">
        <v>31</v>
      </c>
      <c r="H380">
        <v>2</v>
      </c>
      <c r="I380">
        <v>2</v>
      </c>
      <c r="J380">
        <v>6</v>
      </c>
      <c r="K380">
        <v>0</v>
      </c>
      <c r="L380">
        <v>0</v>
      </c>
      <c r="M380">
        <v>4</v>
      </c>
      <c r="N380">
        <v>23</v>
      </c>
      <c r="O380" s="2" t="s">
        <v>2393</v>
      </c>
      <c r="P380" s="4">
        <v>1942</v>
      </c>
      <c r="Q380" t="s">
        <v>315</v>
      </c>
      <c r="R380" t="str">
        <f>IF(Table3[[#This Row],[Narodowość]]&lt;&gt;"Polska","Tak","Nie")</f>
        <v>Tak</v>
      </c>
    </row>
    <row r="381" spans="1:18" x14ac:dyDescent="0.25">
      <c r="A381" t="s">
        <v>414</v>
      </c>
      <c r="B381" t="s">
        <v>357</v>
      </c>
      <c r="C381">
        <v>23</v>
      </c>
      <c r="D381" t="s">
        <v>336</v>
      </c>
      <c r="F381">
        <v>31</v>
      </c>
      <c r="G381">
        <v>30</v>
      </c>
      <c r="H381">
        <v>0</v>
      </c>
      <c r="I381">
        <v>4</v>
      </c>
      <c r="J381">
        <v>2</v>
      </c>
      <c r="K381">
        <v>0</v>
      </c>
      <c r="L381">
        <v>0</v>
      </c>
      <c r="M381">
        <v>0</v>
      </c>
      <c r="N381">
        <v>8</v>
      </c>
      <c r="O381" s="2" t="s">
        <v>2349</v>
      </c>
      <c r="P381" s="4">
        <v>2525</v>
      </c>
      <c r="Q381" t="s">
        <v>341</v>
      </c>
      <c r="R381" t="str">
        <f>IF(Table3[[#This Row],[Narodowość]]&lt;&gt;"Polska","Tak","Nie")</f>
        <v>Tak</v>
      </c>
    </row>
    <row r="382" spans="1:18" x14ac:dyDescent="0.25">
      <c r="A382" t="s">
        <v>526</v>
      </c>
      <c r="B382" t="s">
        <v>357</v>
      </c>
      <c r="C382">
        <v>28</v>
      </c>
      <c r="D382" t="s">
        <v>336</v>
      </c>
      <c r="F382">
        <v>33</v>
      </c>
      <c r="G382">
        <v>13</v>
      </c>
      <c r="H382">
        <v>0</v>
      </c>
      <c r="I382">
        <v>1</v>
      </c>
      <c r="J382">
        <v>1</v>
      </c>
      <c r="K382">
        <v>0</v>
      </c>
      <c r="L382">
        <v>0</v>
      </c>
      <c r="M382">
        <v>9</v>
      </c>
      <c r="N382">
        <v>4</v>
      </c>
      <c r="O382" s="2" t="s">
        <v>2402</v>
      </c>
      <c r="P382" s="4">
        <v>410</v>
      </c>
      <c r="Q382" t="s">
        <v>23</v>
      </c>
      <c r="R382" t="str">
        <f>IF(Table3[[#This Row],[Narodowość]]&lt;&gt;"Polska","Tak","Nie")</f>
        <v>Tak</v>
      </c>
    </row>
    <row r="383" spans="1:18" x14ac:dyDescent="0.25">
      <c r="A383" t="s">
        <v>1294</v>
      </c>
      <c r="B383" t="s">
        <v>331</v>
      </c>
      <c r="C383">
        <v>23</v>
      </c>
      <c r="D383" t="s">
        <v>370</v>
      </c>
      <c r="F383">
        <v>9</v>
      </c>
      <c r="G383">
        <v>9</v>
      </c>
      <c r="H383">
        <v>0</v>
      </c>
      <c r="I383">
        <v>0</v>
      </c>
      <c r="J383">
        <v>2</v>
      </c>
      <c r="K383">
        <v>1</v>
      </c>
      <c r="L383">
        <v>0</v>
      </c>
      <c r="M383">
        <v>2</v>
      </c>
      <c r="N383">
        <v>2</v>
      </c>
      <c r="O383" s="2" t="s">
        <v>2391</v>
      </c>
      <c r="P383" s="4">
        <v>555</v>
      </c>
      <c r="Q383" t="s">
        <v>315</v>
      </c>
      <c r="R383" t="str">
        <f>IF(Table3[[#This Row],[Narodowość]]&lt;&gt;"Polska","Tak","Nie")</f>
        <v>Tak</v>
      </c>
    </row>
    <row r="384" spans="1:18" x14ac:dyDescent="0.25">
      <c r="A384" t="s">
        <v>194</v>
      </c>
      <c r="B384" t="s">
        <v>330</v>
      </c>
      <c r="C384">
        <v>18</v>
      </c>
      <c r="D384" t="s">
        <v>391</v>
      </c>
      <c r="F384">
        <v>5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0</v>
      </c>
      <c r="O384" s="2" t="s">
        <v>2296</v>
      </c>
      <c r="P384" s="4">
        <v>10</v>
      </c>
      <c r="Q384" t="s">
        <v>332</v>
      </c>
      <c r="R384" t="str">
        <f>IF(Table3[[#This Row],[Narodowość]]&lt;&gt;"Polska","Tak","Nie")</f>
        <v>Tak</v>
      </c>
    </row>
    <row r="385" spans="1:18" x14ac:dyDescent="0.25">
      <c r="A385" t="s">
        <v>1272</v>
      </c>
      <c r="B385" t="s">
        <v>326</v>
      </c>
      <c r="C385">
        <v>24</v>
      </c>
      <c r="D385" t="s">
        <v>342</v>
      </c>
      <c r="F385">
        <v>5</v>
      </c>
      <c r="G385">
        <v>4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4</v>
      </c>
      <c r="N385">
        <v>0</v>
      </c>
      <c r="O385" s="2" t="s">
        <v>2301</v>
      </c>
      <c r="P385" s="4">
        <v>41</v>
      </c>
      <c r="Q385" t="s">
        <v>339</v>
      </c>
      <c r="R385" t="str">
        <f>IF(Table3[[#This Row],[Narodowość]]&lt;&gt;"Polska","Tak","Nie")</f>
        <v>Tak</v>
      </c>
    </row>
    <row r="386" spans="1:18" x14ac:dyDescent="0.25">
      <c r="A386" t="s">
        <v>306</v>
      </c>
      <c r="B386" t="s">
        <v>325</v>
      </c>
      <c r="C386">
        <v>25</v>
      </c>
      <c r="D386" t="s">
        <v>342</v>
      </c>
      <c r="E386" t="s">
        <v>336</v>
      </c>
      <c r="F386">
        <v>32</v>
      </c>
      <c r="G386">
        <v>30</v>
      </c>
      <c r="H386">
        <v>11</v>
      </c>
      <c r="I386">
        <v>5</v>
      </c>
      <c r="J386">
        <v>2</v>
      </c>
      <c r="K386">
        <v>0</v>
      </c>
      <c r="L386">
        <v>0</v>
      </c>
      <c r="M386">
        <v>9</v>
      </c>
      <c r="N386">
        <v>19</v>
      </c>
      <c r="O386" s="2" t="s">
        <v>2293</v>
      </c>
      <c r="P386" s="4">
        <v>1698</v>
      </c>
      <c r="Q386" t="s">
        <v>341</v>
      </c>
      <c r="R386" t="str">
        <f>IF(Table3[[#This Row],[Narodowość]]&lt;&gt;"Polska","Tak","Nie")</f>
        <v>Tak</v>
      </c>
    </row>
    <row r="387" spans="1:18" x14ac:dyDescent="0.25">
      <c r="A387" t="s">
        <v>22</v>
      </c>
      <c r="B387" t="s">
        <v>0</v>
      </c>
      <c r="C387">
        <v>34</v>
      </c>
      <c r="D387" t="s">
        <v>350</v>
      </c>
      <c r="F387">
        <v>33</v>
      </c>
      <c r="G387">
        <v>20</v>
      </c>
      <c r="H387">
        <v>0</v>
      </c>
      <c r="I387">
        <v>0</v>
      </c>
      <c r="J387">
        <v>2</v>
      </c>
      <c r="K387">
        <v>0</v>
      </c>
      <c r="L387">
        <v>0</v>
      </c>
      <c r="M387">
        <v>0</v>
      </c>
      <c r="N387">
        <v>0</v>
      </c>
      <c r="O387" s="2" t="s">
        <v>2373</v>
      </c>
      <c r="P387" s="4">
        <v>1800</v>
      </c>
      <c r="Q387" t="s">
        <v>23</v>
      </c>
      <c r="R387" t="str">
        <f>IF(Table3[[#This Row],[Narodowość]]&lt;&gt;"Polska","Tak","Nie")</f>
        <v>Tak</v>
      </c>
    </row>
    <row r="388" spans="1:18" x14ac:dyDescent="0.25">
      <c r="A388" t="s">
        <v>72</v>
      </c>
      <c r="B388" t="s">
        <v>324</v>
      </c>
      <c r="C388">
        <v>36</v>
      </c>
      <c r="D388" t="s">
        <v>347</v>
      </c>
      <c r="E388" t="s">
        <v>337</v>
      </c>
      <c r="F388">
        <v>27</v>
      </c>
      <c r="G388">
        <v>27</v>
      </c>
      <c r="H388">
        <v>9</v>
      </c>
      <c r="I388">
        <v>4</v>
      </c>
      <c r="J388">
        <v>8</v>
      </c>
      <c r="K388">
        <v>0</v>
      </c>
      <c r="L388">
        <v>0</v>
      </c>
      <c r="M388">
        <v>3</v>
      </c>
      <c r="N388">
        <v>7</v>
      </c>
      <c r="O388" s="2" t="s">
        <v>2284</v>
      </c>
      <c r="P388" s="4">
        <v>2214</v>
      </c>
      <c r="Q388" t="s">
        <v>317</v>
      </c>
      <c r="R388" t="str">
        <f>IF(Table3[[#This Row],[Narodowość]]&lt;&gt;"Polska","Tak","Nie")</f>
        <v>Tak</v>
      </c>
    </row>
    <row r="389" spans="1:18" x14ac:dyDescent="0.25">
      <c r="A389" t="s">
        <v>1997</v>
      </c>
      <c r="B389" t="s">
        <v>352</v>
      </c>
      <c r="C389">
        <v>19</v>
      </c>
      <c r="D389" t="s">
        <v>337</v>
      </c>
      <c r="F389">
        <v>28</v>
      </c>
      <c r="G389">
        <v>23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4</v>
      </c>
      <c r="N389">
        <v>4</v>
      </c>
      <c r="O389" s="2" t="s">
        <v>2424</v>
      </c>
      <c r="P389" s="4">
        <v>1668</v>
      </c>
      <c r="Q389" t="s">
        <v>345</v>
      </c>
      <c r="R389" t="str">
        <f>IF(Table3[[#This Row],[Narodowość]]&lt;&gt;"Polska","Tak","Nie")</f>
        <v>Nie</v>
      </c>
    </row>
    <row r="390" spans="1:18" x14ac:dyDescent="0.25">
      <c r="A390" t="s">
        <v>2038</v>
      </c>
      <c r="B390" t="s">
        <v>0</v>
      </c>
      <c r="C390">
        <v>30</v>
      </c>
      <c r="D390" t="s">
        <v>337</v>
      </c>
      <c r="F390">
        <v>17</v>
      </c>
      <c r="G390">
        <v>3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 s="2" t="s">
        <v>2284</v>
      </c>
      <c r="P390" s="4">
        <v>270</v>
      </c>
      <c r="Q390" t="s">
        <v>316</v>
      </c>
      <c r="R390" t="str">
        <f>IF(Table3[[#This Row],[Narodowość]]&lt;&gt;"Polska","Tak","Nie")</f>
        <v>Nie</v>
      </c>
    </row>
    <row r="391" spans="1:18" x14ac:dyDescent="0.25">
      <c r="A391" t="s">
        <v>395</v>
      </c>
      <c r="B391" t="s">
        <v>331</v>
      </c>
      <c r="C391">
        <v>20</v>
      </c>
      <c r="D391" t="s">
        <v>337</v>
      </c>
      <c r="F391">
        <v>23</v>
      </c>
      <c r="G391">
        <v>20</v>
      </c>
      <c r="H391">
        <v>1</v>
      </c>
      <c r="I391">
        <v>4</v>
      </c>
      <c r="J391">
        <v>3</v>
      </c>
      <c r="K391">
        <v>0</v>
      </c>
      <c r="L391">
        <v>0</v>
      </c>
      <c r="M391">
        <v>4</v>
      </c>
      <c r="N391">
        <v>11</v>
      </c>
      <c r="O391" s="2" t="s">
        <v>2413</v>
      </c>
      <c r="P391" s="4">
        <v>1276</v>
      </c>
      <c r="Q391" t="s">
        <v>340</v>
      </c>
      <c r="R391" t="str">
        <f>IF(Table3[[#This Row],[Narodowość]]&lt;&gt;"Polska","Tak","Nie")</f>
        <v>Nie</v>
      </c>
    </row>
    <row r="392" spans="1:18" x14ac:dyDescent="0.25">
      <c r="A392" t="s">
        <v>410</v>
      </c>
      <c r="B392" t="s">
        <v>331</v>
      </c>
      <c r="C392">
        <v>21</v>
      </c>
      <c r="D392" t="s">
        <v>337</v>
      </c>
      <c r="F392">
        <v>31</v>
      </c>
      <c r="G392">
        <v>29</v>
      </c>
      <c r="H392">
        <v>1</v>
      </c>
      <c r="I392">
        <v>3</v>
      </c>
      <c r="J392">
        <v>10</v>
      </c>
      <c r="K392">
        <v>0</v>
      </c>
      <c r="L392">
        <v>0</v>
      </c>
      <c r="M392">
        <v>6</v>
      </c>
      <c r="N392">
        <v>10</v>
      </c>
      <c r="O392" s="2" t="s">
        <v>2423</v>
      </c>
      <c r="P392" s="4">
        <v>2104</v>
      </c>
      <c r="Q392" t="s">
        <v>340</v>
      </c>
      <c r="R392" t="str">
        <f>IF(Table3[[#This Row],[Narodowość]]&lt;&gt;"Polska","Tak","Nie")</f>
        <v>Nie</v>
      </c>
    </row>
    <row r="393" spans="1:18" x14ac:dyDescent="0.25">
      <c r="A393" t="s">
        <v>305</v>
      </c>
      <c r="B393" t="s">
        <v>325</v>
      </c>
      <c r="C393">
        <v>30</v>
      </c>
      <c r="D393" t="s">
        <v>337</v>
      </c>
      <c r="F393">
        <v>28</v>
      </c>
      <c r="G393">
        <v>28</v>
      </c>
      <c r="H393">
        <v>13</v>
      </c>
      <c r="I393">
        <v>3</v>
      </c>
      <c r="J393">
        <v>4</v>
      </c>
      <c r="K393">
        <v>0</v>
      </c>
      <c r="L393">
        <v>1</v>
      </c>
      <c r="M393">
        <v>5</v>
      </c>
      <c r="N393">
        <v>17</v>
      </c>
      <c r="O393" s="2" t="s">
        <v>2283</v>
      </c>
      <c r="P393" s="4">
        <v>1910</v>
      </c>
      <c r="Q393" t="s">
        <v>339</v>
      </c>
      <c r="R393" t="str">
        <f>IF(Table3[[#This Row],[Narodowość]]&lt;&gt;"Polska","Tak","Nie")</f>
        <v>Nie</v>
      </c>
    </row>
    <row r="394" spans="1:18" x14ac:dyDescent="0.25">
      <c r="A394" t="s">
        <v>1868</v>
      </c>
      <c r="B394" t="s">
        <v>376</v>
      </c>
      <c r="C394">
        <v>19</v>
      </c>
      <c r="D394" t="s">
        <v>337</v>
      </c>
      <c r="F394">
        <v>4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 s="2">
        <v>0</v>
      </c>
      <c r="P394" s="4">
        <v>0</v>
      </c>
      <c r="Q394" t="s">
        <v>319</v>
      </c>
      <c r="R394" t="str">
        <f>IF(Table3[[#This Row],[Narodowość]]&lt;&gt;"Polska","Tak","Nie")</f>
        <v>Nie</v>
      </c>
    </row>
    <row r="395" spans="1:18" x14ac:dyDescent="0.25">
      <c r="A395" t="s">
        <v>2252</v>
      </c>
      <c r="B395" t="s">
        <v>330</v>
      </c>
      <c r="C395">
        <v>19</v>
      </c>
      <c r="D395" t="s">
        <v>337</v>
      </c>
      <c r="F395">
        <v>22</v>
      </c>
      <c r="G395">
        <v>12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7</v>
      </c>
      <c r="N395">
        <v>3</v>
      </c>
      <c r="O395" s="2" t="s">
        <v>2446</v>
      </c>
      <c r="P395" s="4">
        <v>438</v>
      </c>
      <c r="Q395" t="s">
        <v>348</v>
      </c>
      <c r="R395" t="str">
        <f>IF(Table3[[#This Row],[Narodowość]]&lt;&gt;"Polska","Tak","Nie")</f>
        <v>Nie</v>
      </c>
    </row>
    <row r="396" spans="1:18" x14ac:dyDescent="0.25">
      <c r="A396" t="s">
        <v>412</v>
      </c>
      <c r="B396" t="s">
        <v>331</v>
      </c>
      <c r="C396">
        <v>37</v>
      </c>
      <c r="D396" t="s">
        <v>337</v>
      </c>
      <c r="F396">
        <v>31</v>
      </c>
      <c r="G396">
        <v>31</v>
      </c>
      <c r="H396">
        <v>1</v>
      </c>
      <c r="I396">
        <v>3</v>
      </c>
      <c r="J396">
        <v>7</v>
      </c>
      <c r="K396">
        <v>0</v>
      </c>
      <c r="L396">
        <v>1</v>
      </c>
      <c r="M396">
        <v>1</v>
      </c>
      <c r="N396">
        <v>5</v>
      </c>
      <c r="O396" s="2" t="s">
        <v>2412</v>
      </c>
      <c r="P396" s="4">
        <v>2495</v>
      </c>
      <c r="Q396" t="s">
        <v>349</v>
      </c>
      <c r="R396" t="str">
        <f>IF(Table3[[#This Row],[Narodowość]]&lt;&gt;"Polska","Tak","Nie")</f>
        <v>Nie</v>
      </c>
    </row>
    <row r="397" spans="1:18" x14ac:dyDescent="0.25">
      <c r="A397" t="s">
        <v>1527</v>
      </c>
      <c r="B397" t="s">
        <v>382</v>
      </c>
      <c r="C397">
        <v>19</v>
      </c>
      <c r="D397" t="s">
        <v>337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 s="2">
        <v>0</v>
      </c>
      <c r="P397" s="4">
        <v>0</v>
      </c>
      <c r="Q397" t="s">
        <v>23</v>
      </c>
      <c r="R397" t="str">
        <f>IF(Table3[[#This Row],[Narodowość]]&lt;&gt;"Polska","Tak","Nie")</f>
        <v>Nie</v>
      </c>
    </row>
    <row r="398" spans="1:18" x14ac:dyDescent="0.25">
      <c r="A398" t="s">
        <v>1128</v>
      </c>
      <c r="B398" t="s">
        <v>325</v>
      </c>
      <c r="C398">
        <v>19</v>
      </c>
      <c r="D398" t="s">
        <v>337</v>
      </c>
      <c r="F398">
        <v>6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2</v>
      </c>
      <c r="N398">
        <v>0</v>
      </c>
      <c r="O398" s="2" t="s">
        <v>2314</v>
      </c>
      <c r="P398" s="4">
        <v>16</v>
      </c>
      <c r="Q398" t="s">
        <v>338</v>
      </c>
      <c r="R398" t="str">
        <f>IF(Table3[[#This Row],[Narodowość]]&lt;&gt;"Polska","Tak","Nie")</f>
        <v>Nie</v>
      </c>
    </row>
    <row r="399" spans="1:18" x14ac:dyDescent="0.25">
      <c r="A399" t="s">
        <v>304</v>
      </c>
      <c r="B399" t="s">
        <v>325</v>
      </c>
      <c r="C399">
        <v>28</v>
      </c>
      <c r="D399" t="s">
        <v>337</v>
      </c>
      <c r="F399">
        <v>32</v>
      </c>
      <c r="G399">
        <v>32</v>
      </c>
      <c r="H399">
        <v>14</v>
      </c>
      <c r="I399">
        <v>0</v>
      </c>
      <c r="J399">
        <v>5</v>
      </c>
      <c r="K399">
        <v>0</v>
      </c>
      <c r="L399">
        <v>0</v>
      </c>
      <c r="M399">
        <v>7</v>
      </c>
      <c r="N399">
        <v>18</v>
      </c>
      <c r="O399" s="2" t="s">
        <v>2362</v>
      </c>
      <c r="P399" s="4">
        <v>2124</v>
      </c>
      <c r="Q399" t="s">
        <v>338</v>
      </c>
      <c r="R399" t="str">
        <f>IF(Table3[[#This Row],[Narodowość]]&lt;&gt;"Polska","Tak","Nie")</f>
        <v>Nie</v>
      </c>
    </row>
    <row r="400" spans="1:18" x14ac:dyDescent="0.25">
      <c r="A400" t="s">
        <v>529</v>
      </c>
      <c r="B400" t="s">
        <v>324</v>
      </c>
      <c r="C400">
        <v>24</v>
      </c>
      <c r="D400" t="s">
        <v>370</v>
      </c>
      <c r="E400" t="s">
        <v>336</v>
      </c>
      <c r="F400">
        <v>15</v>
      </c>
      <c r="G400">
        <v>15</v>
      </c>
      <c r="H400">
        <v>0</v>
      </c>
      <c r="I400">
        <v>1</v>
      </c>
      <c r="J400">
        <v>3</v>
      </c>
      <c r="K400">
        <v>0</v>
      </c>
      <c r="L400">
        <v>0</v>
      </c>
      <c r="M400">
        <v>4</v>
      </c>
      <c r="N400">
        <v>7</v>
      </c>
      <c r="O400" s="2" t="s">
        <v>2280</v>
      </c>
      <c r="P400" s="4">
        <v>1008</v>
      </c>
      <c r="Q400" t="s">
        <v>318</v>
      </c>
      <c r="R400" t="str">
        <f>IF(Table3[[#This Row],[Narodowość]]&lt;&gt;"Polska","Tak","Nie")</f>
        <v>Tak</v>
      </c>
    </row>
    <row r="401" spans="1:18" x14ac:dyDescent="0.25">
      <c r="A401" t="s">
        <v>10</v>
      </c>
      <c r="B401" t="s">
        <v>331</v>
      </c>
      <c r="C401">
        <v>23</v>
      </c>
      <c r="D401" t="s">
        <v>337</v>
      </c>
      <c r="F401">
        <v>15</v>
      </c>
      <c r="G401">
        <v>10</v>
      </c>
      <c r="H401">
        <v>0</v>
      </c>
      <c r="I401">
        <v>0</v>
      </c>
      <c r="J401">
        <v>3</v>
      </c>
      <c r="K401">
        <v>0</v>
      </c>
      <c r="L401">
        <v>0</v>
      </c>
      <c r="M401">
        <v>4</v>
      </c>
      <c r="N401">
        <v>3</v>
      </c>
      <c r="O401" s="2" t="s">
        <v>2283</v>
      </c>
      <c r="P401" s="4">
        <v>502</v>
      </c>
      <c r="Q401" t="s">
        <v>316</v>
      </c>
      <c r="R401" t="str">
        <f>IF(Table3[[#This Row],[Narodowość]]&lt;&gt;"Polska","Tak","Nie")</f>
        <v>Nie</v>
      </c>
    </row>
    <row r="402" spans="1:18" x14ac:dyDescent="0.25">
      <c r="A402" t="s">
        <v>397</v>
      </c>
      <c r="B402" t="s">
        <v>324</v>
      </c>
      <c r="C402">
        <v>30</v>
      </c>
      <c r="D402" t="s">
        <v>337</v>
      </c>
      <c r="F402">
        <v>16</v>
      </c>
      <c r="G402">
        <v>15</v>
      </c>
      <c r="H402">
        <v>1</v>
      </c>
      <c r="I402">
        <v>4</v>
      </c>
      <c r="J402">
        <v>3</v>
      </c>
      <c r="K402">
        <v>0</v>
      </c>
      <c r="L402">
        <v>0</v>
      </c>
      <c r="M402">
        <v>4</v>
      </c>
      <c r="N402">
        <v>5</v>
      </c>
      <c r="O402" s="2" t="s">
        <v>2428</v>
      </c>
      <c r="P402" s="4">
        <v>1014</v>
      </c>
      <c r="Q402" t="s">
        <v>319</v>
      </c>
      <c r="R402" t="str">
        <f>IF(Table3[[#This Row],[Narodowość]]&lt;&gt;"Polska","Tak","Nie")</f>
        <v>Nie</v>
      </c>
    </row>
    <row r="403" spans="1:18" x14ac:dyDescent="0.25">
      <c r="A403" t="s">
        <v>115</v>
      </c>
      <c r="B403" t="s">
        <v>324</v>
      </c>
      <c r="C403">
        <v>30</v>
      </c>
      <c r="D403" t="s">
        <v>337</v>
      </c>
      <c r="F403">
        <v>31</v>
      </c>
      <c r="G403">
        <v>31</v>
      </c>
      <c r="H403">
        <v>4</v>
      </c>
      <c r="I403">
        <v>1</v>
      </c>
      <c r="J403">
        <v>3</v>
      </c>
      <c r="K403">
        <v>0</v>
      </c>
      <c r="L403">
        <v>0</v>
      </c>
      <c r="M403">
        <v>5</v>
      </c>
      <c r="N403">
        <v>15</v>
      </c>
      <c r="O403" s="2" t="s">
        <v>2361</v>
      </c>
      <c r="P403" s="4">
        <v>2270</v>
      </c>
      <c r="Q403" t="s">
        <v>338</v>
      </c>
      <c r="R403" t="str">
        <f>IF(Table3[[#This Row],[Narodowość]]&lt;&gt;"Polska","Tak","Nie")</f>
        <v>Nie</v>
      </c>
    </row>
    <row r="404" spans="1:18" x14ac:dyDescent="0.25">
      <c r="A404" t="s">
        <v>45</v>
      </c>
      <c r="B404" t="s">
        <v>0</v>
      </c>
      <c r="C404">
        <v>32</v>
      </c>
      <c r="D404" t="s">
        <v>337</v>
      </c>
      <c r="F404">
        <v>32</v>
      </c>
      <c r="G404">
        <v>32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 s="2" t="s">
        <v>2442</v>
      </c>
      <c r="P404" s="4">
        <v>2880</v>
      </c>
      <c r="Q404" t="s">
        <v>348</v>
      </c>
      <c r="R404" t="str">
        <f>IF(Table3[[#This Row],[Narodowość]]&lt;&gt;"Polska","Tak","Nie")</f>
        <v>Nie</v>
      </c>
    </row>
    <row r="405" spans="1:18" x14ac:dyDescent="0.25">
      <c r="A405" t="s">
        <v>1877</v>
      </c>
      <c r="B405" t="s">
        <v>325</v>
      </c>
      <c r="C405">
        <v>31</v>
      </c>
      <c r="D405" t="s">
        <v>337</v>
      </c>
      <c r="F405">
        <v>17</v>
      </c>
      <c r="G405">
        <v>12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8</v>
      </c>
      <c r="N405">
        <v>2</v>
      </c>
      <c r="O405" s="2" t="s">
        <v>2292</v>
      </c>
      <c r="P405" s="4">
        <v>456</v>
      </c>
      <c r="Q405" t="s">
        <v>319</v>
      </c>
      <c r="R405" t="str">
        <f>IF(Table3[[#This Row],[Narodowość]]&lt;&gt;"Polska","Tak","Nie")</f>
        <v>Nie</v>
      </c>
    </row>
    <row r="406" spans="1:18" x14ac:dyDescent="0.25">
      <c r="A406" t="s">
        <v>599</v>
      </c>
      <c r="B406" t="s">
        <v>0</v>
      </c>
      <c r="C406">
        <v>17</v>
      </c>
      <c r="D406" t="s">
        <v>337</v>
      </c>
      <c r="F406">
        <v>8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 s="2">
        <v>0</v>
      </c>
      <c r="P406" s="4">
        <v>0</v>
      </c>
      <c r="Q406" t="s">
        <v>318</v>
      </c>
      <c r="R406" t="str">
        <f>IF(Table3[[#This Row],[Narodowość]]&lt;&gt;"Polska","Tak","Nie")</f>
        <v>Nie</v>
      </c>
    </row>
    <row r="407" spans="1:18" x14ac:dyDescent="0.25">
      <c r="A407" t="s">
        <v>525</v>
      </c>
      <c r="B407" t="s">
        <v>382</v>
      </c>
      <c r="C407">
        <v>27</v>
      </c>
      <c r="D407" t="s">
        <v>337</v>
      </c>
      <c r="F407">
        <v>5</v>
      </c>
      <c r="G407">
        <v>4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0</v>
      </c>
      <c r="N407">
        <v>1</v>
      </c>
      <c r="O407" s="2" t="s">
        <v>2279</v>
      </c>
      <c r="P407" s="4">
        <v>343</v>
      </c>
      <c r="Q407" t="s">
        <v>348</v>
      </c>
      <c r="R407" t="str">
        <f>IF(Table3[[#This Row],[Narodowość]]&lt;&gt;"Polska","Tak","Nie")</f>
        <v>Nie</v>
      </c>
    </row>
    <row r="408" spans="1:18" x14ac:dyDescent="0.25">
      <c r="A408" t="s">
        <v>386</v>
      </c>
      <c r="B408" t="s">
        <v>325</v>
      </c>
      <c r="C408">
        <v>19</v>
      </c>
      <c r="D408" t="s">
        <v>337</v>
      </c>
      <c r="F408">
        <v>19</v>
      </c>
      <c r="G408">
        <v>16</v>
      </c>
      <c r="H408">
        <v>3</v>
      </c>
      <c r="I408">
        <v>3</v>
      </c>
      <c r="J408">
        <v>3</v>
      </c>
      <c r="K408">
        <v>0</v>
      </c>
      <c r="L408">
        <v>0</v>
      </c>
      <c r="M408">
        <v>2</v>
      </c>
      <c r="N408">
        <v>9</v>
      </c>
      <c r="O408" s="2" t="s">
        <v>2305</v>
      </c>
      <c r="P408" s="4">
        <v>1142</v>
      </c>
      <c r="Q408" t="s">
        <v>318</v>
      </c>
      <c r="R408" t="str">
        <f>IF(Table3[[#This Row],[Narodowość]]&lt;&gt;"Polska","Tak","Nie")</f>
        <v>Nie</v>
      </c>
    </row>
    <row r="409" spans="1:18" x14ac:dyDescent="0.25">
      <c r="A409" t="s">
        <v>260</v>
      </c>
      <c r="B409" t="s">
        <v>382</v>
      </c>
      <c r="C409">
        <v>32</v>
      </c>
      <c r="D409" t="s">
        <v>337</v>
      </c>
      <c r="F409">
        <v>32</v>
      </c>
      <c r="G409">
        <v>20</v>
      </c>
      <c r="H409">
        <v>1</v>
      </c>
      <c r="I409">
        <v>0</v>
      </c>
      <c r="J409">
        <v>5</v>
      </c>
      <c r="K409">
        <v>0</v>
      </c>
      <c r="L409">
        <v>0</v>
      </c>
      <c r="M409">
        <v>4</v>
      </c>
      <c r="N409">
        <v>1</v>
      </c>
      <c r="O409" s="2" t="s">
        <v>2399</v>
      </c>
      <c r="P409" s="4">
        <v>1387</v>
      </c>
      <c r="Q409" t="s">
        <v>383</v>
      </c>
      <c r="R409" t="str">
        <f>IF(Table3[[#This Row],[Narodowość]]&lt;&gt;"Polska","Tak","Nie")</f>
        <v>Nie</v>
      </c>
    </row>
    <row r="410" spans="1:18" x14ac:dyDescent="0.25">
      <c r="A410" t="s">
        <v>1293</v>
      </c>
      <c r="B410" t="s">
        <v>382</v>
      </c>
      <c r="C410">
        <v>31</v>
      </c>
      <c r="D410" t="s">
        <v>337</v>
      </c>
      <c r="F410">
        <v>15</v>
      </c>
      <c r="G410">
        <v>2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2</v>
      </c>
      <c r="N410">
        <v>0</v>
      </c>
      <c r="O410" s="2" t="s">
        <v>2296</v>
      </c>
      <c r="P410" s="4">
        <v>5</v>
      </c>
      <c r="Q410" t="s">
        <v>315</v>
      </c>
      <c r="R410" t="str">
        <f>IF(Table3[[#This Row],[Narodowość]]&lt;&gt;"Polska","Tak","Nie")</f>
        <v>Nie</v>
      </c>
    </row>
    <row r="411" spans="1:18" x14ac:dyDescent="0.25">
      <c r="A411" t="s">
        <v>90</v>
      </c>
      <c r="B411" t="s">
        <v>325</v>
      </c>
      <c r="C411">
        <v>20</v>
      </c>
      <c r="D411" t="s">
        <v>337</v>
      </c>
      <c r="F411">
        <v>7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 s="2" t="s">
        <v>2291</v>
      </c>
      <c r="P411" s="4">
        <v>13</v>
      </c>
      <c r="Q411" t="s">
        <v>361</v>
      </c>
      <c r="R411" t="str">
        <f>IF(Table3[[#This Row],[Narodowość]]&lt;&gt;"Polska","Tak","Nie")</f>
        <v>Nie</v>
      </c>
    </row>
    <row r="412" spans="1:18" x14ac:dyDescent="0.25">
      <c r="A412" t="s">
        <v>472</v>
      </c>
      <c r="B412" t="s">
        <v>331</v>
      </c>
      <c r="C412">
        <v>26</v>
      </c>
      <c r="D412" t="s">
        <v>337</v>
      </c>
      <c r="F412">
        <v>34</v>
      </c>
      <c r="G412">
        <v>28</v>
      </c>
      <c r="H412">
        <v>0</v>
      </c>
      <c r="I412">
        <v>2</v>
      </c>
      <c r="J412">
        <v>2</v>
      </c>
      <c r="K412">
        <v>0</v>
      </c>
      <c r="L412">
        <v>0</v>
      </c>
      <c r="M412">
        <v>10</v>
      </c>
      <c r="N412">
        <v>12</v>
      </c>
      <c r="O412" s="2" t="s">
        <v>2289</v>
      </c>
      <c r="P412" s="4">
        <v>1491</v>
      </c>
      <c r="Q412" t="s">
        <v>319</v>
      </c>
      <c r="R412" t="str">
        <f>IF(Table3[[#This Row],[Narodowość]]&lt;&gt;"Polska","Tak","Nie")</f>
        <v>Nie</v>
      </c>
    </row>
    <row r="413" spans="1:18" x14ac:dyDescent="0.25">
      <c r="A413" t="s">
        <v>896</v>
      </c>
      <c r="B413" t="s">
        <v>382</v>
      </c>
      <c r="C413">
        <v>32</v>
      </c>
      <c r="D413" t="s">
        <v>337</v>
      </c>
      <c r="F413">
        <v>2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 s="2" t="s">
        <v>2296</v>
      </c>
      <c r="P413" s="4">
        <v>7</v>
      </c>
      <c r="Q413" t="s">
        <v>332</v>
      </c>
      <c r="R413" t="str">
        <f>IF(Table3[[#This Row],[Narodowość]]&lt;&gt;"Polska","Tak","Nie")</f>
        <v>Nie</v>
      </c>
    </row>
    <row r="414" spans="1:18" x14ac:dyDescent="0.25">
      <c r="A414" t="s">
        <v>417</v>
      </c>
      <c r="B414" t="s">
        <v>331</v>
      </c>
      <c r="C414">
        <v>20</v>
      </c>
      <c r="D414" t="s">
        <v>337</v>
      </c>
      <c r="F414">
        <v>25</v>
      </c>
      <c r="G414">
        <v>20</v>
      </c>
      <c r="H414">
        <v>3</v>
      </c>
      <c r="I414">
        <v>0</v>
      </c>
      <c r="J414">
        <v>2</v>
      </c>
      <c r="K414">
        <v>1</v>
      </c>
      <c r="L414">
        <v>0</v>
      </c>
      <c r="M414">
        <v>10</v>
      </c>
      <c r="N414">
        <v>9</v>
      </c>
      <c r="O414" s="2" t="s">
        <v>2352</v>
      </c>
      <c r="P414" s="4">
        <v>903</v>
      </c>
      <c r="Q414" t="s">
        <v>341</v>
      </c>
      <c r="R414" t="str">
        <f>IF(Table3[[#This Row],[Narodowość]]&lt;&gt;"Polska","Tak","Nie")</f>
        <v>Nie</v>
      </c>
    </row>
    <row r="415" spans="1:18" x14ac:dyDescent="0.25">
      <c r="A415" t="s">
        <v>425</v>
      </c>
      <c r="B415" t="s">
        <v>325</v>
      </c>
      <c r="C415">
        <v>24</v>
      </c>
      <c r="D415" t="s">
        <v>426</v>
      </c>
      <c r="F415">
        <v>15</v>
      </c>
      <c r="G415">
        <v>15</v>
      </c>
      <c r="H415">
        <v>2</v>
      </c>
      <c r="I415">
        <v>1</v>
      </c>
      <c r="J415">
        <v>1</v>
      </c>
      <c r="K415">
        <v>0</v>
      </c>
      <c r="L415">
        <v>0</v>
      </c>
      <c r="M415">
        <v>7</v>
      </c>
      <c r="N415">
        <v>5</v>
      </c>
      <c r="O415" s="2" t="s">
        <v>2304</v>
      </c>
      <c r="P415" s="4">
        <v>868</v>
      </c>
      <c r="Q415" t="s">
        <v>318</v>
      </c>
      <c r="R415" t="str">
        <f>IF(Table3[[#This Row],[Narodowość]]&lt;&gt;"Polska","Tak","Nie")</f>
        <v>Tak</v>
      </c>
    </row>
    <row r="416" spans="1:18" x14ac:dyDescent="0.25">
      <c r="A416" t="s">
        <v>129</v>
      </c>
      <c r="B416" t="s">
        <v>382</v>
      </c>
      <c r="C416">
        <v>20</v>
      </c>
      <c r="D416" t="s">
        <v>337</v>
      </c>
      <c r="E416" t="s">
        <v>347</v>
      </c>
      <c r="F416">
        <v>20</v>
      </c>
      <c r="G416">
        <v>19</v>
      </c>
      <c r="H416">
        <v>1</v>
      </c>
      <c r="I416">
        <v>1</v>
      </c>
      <c r="J416">
        <v>4</v>
      </c>
      <c r="K416">
        <v>0</v>
      </c>
      <c r="L416">
        <v>0</v>
      </c>
      <c r="M416">
        <v>1</v>
      </c>
      <c r="N416">
        <v>3</v>
      </c>
      <c r="O416" s="2" t="s">
        <v>2285</v>
      </c>
      <c r="P416" s="4">
        <v>1488</v>
      </c>
      <c r="Q416" t="s">
        <v>318</v>
      </c>
      <c r="R416" t="str">
        <f>IF(Table3[[#This Row],[Narodowość]]&lt;&gt;"Polska","Tak","Nie")</f>
        <v>Nie</v>
      </c>
    </row>
    <row r="417" spans="1:18" x14ac:dyDescent="0.25">
      <c r="A417" t="s">
        <v>798</v>
      </c>
      <c r="B417" t="s">
        <v>324</v>
      </c>
      <c r="C417">
        <v>17</v>
      </c>
      <c r="D417" t="s">
        <v>337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 s="2">
        <v>0</v>
      </c>
      <c r="P417" s="4">
        <v>0</v>
      </c>
      <c r="Q417" t="s">
        <v>334</v>
      </c>
      <c r="R417" t="str">
        <f>IF(Table3[[#This Row],[Narodowość]]&lt;&gt;"Polska","Tak","Nie")</f>
        <v>Nie</v>
      </c>
    </row>
    <row r="418" spans="1:18" x14ac:dyDescent="0.25">
      <c r="A418" t="s">
        <v>1138</v>
      </c>
      <c r="B418" t="s">
        <v>376</v>
      </c>
      <c r="C418">
        <v>21</v>
      </c>
      <c r="D418" t="s">
        <v>337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 s="2">
        <v>0</v>
      </c>
      <c r="P418" s="4">
        <v>0</v>
      </c>
      <c r="Q418" t="s">
        <v>344</v>
      </c>
      <c r="R418" t="str">
        <f>IF(Table3[[#This Row],[Narodowość]]&lt;&gt;"Polska","Tak","Nie")</f>
        <v>Nie</v>
      </c>
    </row>
    <row r="419" spans="1:18" x14ac:dyDescent="0.25">
      <c r="A419" t="s">
        <v>1948</v>
      </c>
      <c r="B419" t="s">
        <v>0</v>
      </c>
      <c r="C419">
        <v>18</v>
      </c>
      <c r="D419" t="s">
        <v>337</v>
      </c>
      <c r="E419" t="s">
        <v>335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 s="2">
        <v>0</v>
      </c>
      <c r="P419" s="4">
        <v>0</v>
      </c>
      <c r="Q419" t="s">
        <v>345</v>
      </c>
      <c r="R419" t="str">
        <f>IF(Table3[[#This Row],[Narodowość]]&lt;&gt;"Polska","Tak","Nie")</f>
        <v>Nie</v>
      </c>
    </row>
    <row r="420" spans="1:18" x14ac:dyDescent="0.25">
      <c r="A420" t="s">
        <v>761</v>
      </c>
      <c r="B420" t="s">
        <v>382</v>
      </c>
      <c r="C420">
        <v>18</v>
      </c>
      <c r="D420" t="s">
        <v>337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 s="2">
        <v>0</v>
      </c>
      <c r="P420" s="4">
        <v>0</v>
      </c>
      <c r="Q420" t="s">
        <v>334</v>
      </c>
      <c r="R420" t="str">
        <f>IF(Table3[[#This Row],[Narodowość]]&lt;&gt;"Polska","Tak","Nie")</f>
        <v>Nie</v>
      </c>
    </row>
    <row r="421" spans="1:18" x14ac:dyDescent="0.25">
      <c r="A421" t="s">
        <v>215</v>
      </c>
      <c r="B421" t="s">
        <v>324</v>
      </c>
      <c r="C421">
        <v>20</v>
      </c>
      <c r="D421" t="s">
        <v>337</v>
      </c>
      <c r="F421">
        <v>33</v>
      </c>
      <c r="G421">
        <v>33</v>
      </c>
      <c r="H421">
        <v>3</v>
      </c>
      <c r="I421">
        <v>4</v>
      </c>
      <c r="J421">
        <v>5</v>
      </c>
      <c r="K421">
        <v>0</v>
      </c>
      <c r="L421">
        <v>0</v>
      </c>
      <c r="M421">
        <v>0</v>
      </c>
      <c r="N421">
        <v>26</v>
      </c>
      <c r="O421" s="2" t="s">
        <v>2300</v>
      </c>
      <c r="P421" s="4">
        <v>2653</v>
      </c>
      <c r="Q421" t="s">
        <v>319</v>
      </c>
      <c r="R421" t="str">
        <f>IF(Table3[[#This Row],[Narodowość]]&lt;&gt;"Polska","Tak","Nie")</f>
        <v>Nie</v>
      </c>
    </row>
    <row r="422" spans="1:18" x14ac:dyDescent="0.25">
      <c r="A422" t="s">
        <v>87</v>
      </c>
      <c r="B422" t="s">
        <v>325</v>
      </c>
      <c r="C422">
        <v>25</v>
      </c>
      <c r="D422" t="s">
        <v>333</v>
      </c>
      <c r="F422">
        <v>7</v>
      </c>
      <c r="G422">
        <v>7</v>
      </c>
      <c r="H422">
        <v>3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1</v>
      </c>
      <c r="O422" s="2" t="s">
        <v>2301</v>
      </c>
      <c r="P422" s="4">
        <v>547</v>
      </c>
      <c r="Q422" t="s">
        <v>361</v>
      </c>
      <c r="R422" t="str">
        <f>IF(Table3[[#This Row],[Narodowość]]&lt;&gt;"Polska","Tak","Nie")</f>
        <v>Tak</v>
      </c>
    </row>
    <row r="423" spans="1:18" x14ac:dyDescent="0.25">
      <c r="A423" t="s">
        <v>1251</v>
      </c>
      <c r="B423" t="s">
        <v>357</v>
      </c>
      <c r="C423">
        <v>18</v>
      </c>
      <c r="D423" t="s">
        <v>337</v>
      </c>
      <c r="F423">
        <v>15</v>
      </c>
      <c r="G423">
        <v>7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3</v>
      </c>
      <c r="N423">
        <v>2</v>
      </c>
      <c r="O423" s="2" t="s">
        <v>2297</v>
      </c>
      <c r="P423" s="4">
        <v>398</v>
      </c>
      <c r="Q423" t="s">
        <v>339</v>
      </c>
      <c r="R423" t="str">
        <f>IF(Table3[[#This Row],[Narodowość]]&lt;&gt;"Polska","Tak","Nie")</f>
        <v>Nie</v>
      </c>
    </row>
    <row r="424" spans="1:18" x14ac:dyDescent="0.25">
      <c r="A424" t="s">
        <v>2206</v>
      </c>
      <c r="B424" t="s">
        <v>11</v>
      </c>
      <c r="C424">
        <v>18</v>
      </c>
      <c r="D424" t="s">
        <v>337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 s="2">
        <v>0</v>
      </c>
      <c r="P424" s="4">
        <v>0</v>
      </c>
      <c r="Q424" t="s">
        <v>348</v>
      </c>
      <c r="R424" t="str">
        <f>IF(Table3[[#This Row],[Narodowość]]&lt;&gt;"Polska","Tak","Nie")</f>
        <v>Nie</v>
      </c>
    </row>
    <row r="425" spans="1:18" x14ac:dyDescent="0.25">
      <c r="A425" t="s">
        <v>2096</v>
      </c>
      <c r="B425" t="s">
        <v>352</v>
      </c>
      <c r="C425">
        <v>20</v>
      </c>
      <c r="D425" t="s">
        <v>350</v>
      </c>
      <c r="F425">
        <v>3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 s="2" t="s">
        <v>2291</v>
      </c>
      <c r="P425" s="4">
        <v>8</v>
      </c>
      <c r="Q425" t="s">
        <v>316</v>
      </c>
      <c r="R425" t="str">
        <f>IF(Table3[[#This Row],[Narodowość]]&lt;&gt;"Polska","Tak","Nie")</f>
        <v>Tak</v>
      </c>
    </row>
    <row r="426" spans="1:18" x14ac:dyDescent="0.25">
      <c r="A426" t="s">
        <v>443</v>
      </c>
      <c r="B426" t="s">
        <v>328</v>
      </c>
      <c r="C426">
        <v>19</v>
      </c>
      <c r="D426" t="s">
        <v>337</v>
      </c>
      <c r="F426">
        <v>1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 s="2">
        <v>0</v>
      </c>
      <c r="P426" s="4">
        <v>0</v>
      </c>
      <c r="Q426" t="s">
        <v>341</v>
      </c>
      <c r="R426" t="str">
        <f>IF(Table3[[#This Row],[Narodowość]]&lt;&gt;"Polska","Tak","Nie")</f>
        <v>Nie</v>
      </c>
    </row>
    <row r="427" spans="1:18" x14ac:dyDescent="0.25">
      <c r="A427" t="s">
        <v>443</v>
      </c>
      <c r="B427" t="s">
        <v>328</v>
      </c>
      <c r="C427">
        <v>19</v>
      </c>
      <c r="D427" t="s">
        <v>337</v>
      </c>
      <c r="F427">
        <v>21</v>
      </c>
      <c r="G427">
        <v>19</v>
      </c>
      <c r="H427">
        <v>1</v>
      </c>
      <c r="I427">
        <v>2</v>
      </c>
      <c r="J427">
        <v>2</v>
      </c>
      <c r="K427">
        <v>0</v>
      </c>
      <c r="L427">
        <v>0</v>
      </c>
      <c r="M427">
        <v>10</v>
      </c>
      <c r="N427">
        <v>9</v>
      </c>
      <c r="O427" s="2" t="s">
        <v>2447</v>
      </c>
      <c r="P427" s="4">
        <v>769</v>
      </c>
      <c r="Q427" t="s">
        <v>348</v>
      </c>
      <c r="R427" t="str">
        <f>IF(Table3[[#This Row],[Narodowość]]&lt;&gt;"Polska","Tak","Nie")</f>
        <v>Nie</v>
      </c>
    </row>
    <row r="428" spans="1:18" x14ac:dyDescent="0.25">
      <c r="A428" t="s">
        <v>237</v>
      </c>
      <c r="B428" t="s">
        <v>324</v>
      </c>
      <c r="C428">
        <v>21</v>
      </c>
      <c r="D428" t="s">
        <v>337</v>
      </c>
      <c r="E428" t="s">
        <v>347</v>
      </c>
      <c r="F428">
        <v>18</v>
      </c>
      <c r="G428">
        <v>11</v>
      </c>
      <c r="H428">
        <v>1</v>
      </c>
      <c r="I428">
        <v>1</v>
      </c>
      <c r="J428">
        <v>0</v>
      </c>
      <c r="K428">
        <v>0</v>
      </c>
      <c r="L428">
        <v>0</v>
      </c>
      <c r="M428">
        <v>8</v>
      </c>
      <c r="N428">
        <v>2</v>
      </c>
      <c r="O428" s="2" t="s">
        <v>2433</v>
      </c>
      <c r="P428" s="4">
        <v>394</v>
      </c>
      <c r="Q428" t="s">
        <v>345</v>
      </c>
      <c r="R428" t="str">
        <f>IF(Table3[[#This Row],[Narodowość]]&lt;&gt;"Polska","Tak","Nie")</f>
        <v>Nie</v>
      </c>
    </row>
    <row r="429" spans="1:18" x14ac:dyDescent="0.25">
      <c r="A429" t="s">
        <v>2204</v>
      </c>
      <c r="B429" t="s">
        <v>325</v>
      </c>
      <c r="C429">
        <v>17</v>
      </c>
      <c r="D429" t="s">
        <v>337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 s="2">
        <v>0</v>
      </c>
      <c r="P429" s="4">
        <v>0</v>
      </c>
      <c r="Q429" t="s">
        <v>383</v>
      </c>
      <c r="R429" t="str">
        <f>IF(Table3[[#This Row],[Narodowość]]&lt;&gt;"Polska","Tak","Nie")</f>
        <v>Nie</v>
      </c>
    </row>
    <row r="430" spans="1:18" x14ac:dyDescent="0.25">
      <c r="A430" t="s">
        <v>1487</v>
      </c>
      <c r="B430" t="s">
        <v>324</v>
      </c>
      <c r="C430">
        <v>30</v>
      </c>
      <c r="D430" t="s">
        <v>337</v>
      </c>
      <c r="F430">
        <v>10</v>
      </c>
      <c r="G430">
        <v>7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3</v>
      </c>
      <c r="N430">
        <v>3</v>
      </c>
      <c r="O430" s="2" t="s">
        <v>2420</v>
      </c>
      <c r="P430" s="4">
        <v>343</v>
      </c>
      <c r="Q430" t="s">
        <v>319</v>
      </c>
      <c r="R430" t="str">
        <f>IF(Table3[[#This Row],[Narodowość]]&lt;&gt;"Polska","Tak","Nie")</f>
        <v>Nie</v>
      </c>
    </row>
    <row r="431" spans="1:18" x14ac:dyDescent="0.25">
      <c r="A431" t="s">
        <v>193</v>
      </c>
      <c r="B431" t="s">
        <v>324</v>
      </c>
      <c r="C431">
        <v>25</v>
      </c>
      <c r="D431" t="s">
        <v>337</v>
      </c>
      <c r="F431">
        <v>12</v>
      </c>
      <c r="G431">
        <v>12</v>
      </c>
      <c r="H431">
        <v>3</v>
      </c>
      <c r="I431">
        <v>1</v>
      </c>
      <c r="J431">
        <v>3</v>
      </c>
      <c r="K431">
        <v>0</v>
      </c>
      <c r="L431">
        <v>0</v>
      </c>
      <c r="M431">
        <v>9</v>
      </c>
      <c r="N431">
        <v>3</v>
      </c>
      <c r="O431" s="2" t="s">
        <v>2342</v>
      </c>
      <c r="P431" s="4">
        <v>373</v>
      </c>
      <c r="Q431" t="s">
        <v>332</v>
      </c>
      <c r="R431" t="str">
        <f>IF(Table3[[#This Row],[Narodowość]]&lt;&gt;"Polska","Tak","Nie")</f>
        <v>Nie</v>
      </c>
    </row>
    <row r="432" spans="1:18" x14ac:dyDescent="0.25">
      <c r="A432" t="s">
        <v>206</v>
      </c>
      <c r="B432" t="s">
        <v>382</v>
      </c>
      <c r="C432">
        <v>27</v>
      </c>
      <c r="D432" t="s">
        <v>337</v>
      </c>
      <c r="F432">
        <v>29</v>
      </c>
      <c r="G432">
        <v>27</v>
      </c>
      <c r="H432">
        <v>1</v>
      </c>
      <c r="I432">
        <v>2</v>
      </c>
      <c r="J432">
        <v>7</v>
      </c>
      <c r="K432">
        <v>0</v>
      </c>
      <c r="L432">
        <v>0</v>
      </c>
      <c r="M432">
        <v>1</v>
      </c>
      <c r="N432">
        <v>0</v>
      </c>
      <c r="O432" s="2" t="s">
        <v>2303</v>
      </c>
      <c r="P432" s="4">
        <v>2354</v>
      </c>
      <c r="Q432" t="s">
        <v>319</v>
      </c>
      <c r="R432" t="str">
        <f>IF(Table3[[#This Row],[Narodowość]]&lt;&gt;"Polska","Tak","Nie")</f>
        <v>Nie</v>
      </c>
    </row>
    <row r="433" spans="1:18" x14ac:dyDescent="0.25">
      <c r="A433" t="s">
        <v>4</v>
      </c>
      <c r="B433" t="s">
        <v>357</v>
      </c>
      <c r="C433">
        <v>21</v>
      </c>
      <c r="D433" t="s">
        <v>337</v>
      </c>
      <c r="F433">
        <v>22</v>
      </c>
      <c r="G433">
        <v>17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12</v>
      </c>
      <c r="N433">
        <v>4</v>
      </c>
      <c r="O433" s="2" t="s">
        <v>2409</v>
      </c>
      <c r="P433" s="4">
        <v>559</v>
      </c>
      <c r="Q433" t="s">
        <v>316</v>
      </c>
      <c r="R433" t="str">
        <f>IF(Table3[[#This Row],[Narodowość]]&lt;&gt;"Polska","Tak","Nie")</f>
        <v>Nie</v>
      </c>
    </row>
    <row r="434" spans="1:18" x14ac:dyDescent="0.25">
      <c r="A434" t="s">
        <v>252</v>
      </c>
      <c r="B434" t="s">
        <v>326</v>
      </c>
      <c r="C434">
        <v>20</v>
      </c>
      <c r="D434" t="s">
        <v>337</v>
      </c>
      <c r="F434">
        <v>3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 s="2" t="s">
        <v>2296</v>
      </c>
      <c r="P434" s="4">
        <v>0</v>
      </c>
      <c r="Q434" t="s">
        <v>349</v>
      </c>
      <c r="R434" t="str">
        <f>IF(Table3[[#This Row],[Narodowość]]&lt;&gt;"Polska","Tak","Nie")</f>
        <v>Nie</v>
      </c>
    </row>
    <row r="435" spans="1:18" x14ac:dyDescent="0.25">
      <c r="A435" t="s">
        <v>9</v>
      </c>
      <c r="B435" t="s">
        <v>352</v>
      </c>
      <c r="C435">
        <v>26</v>
      </c>
      <c r="D435" t="s">
        <v>337</v>
      </c>
      <c r="F435">
        <v>18</v>
      </c>
      <c r="G435">
        <v>15</v>
      </c>
      <c r="H435">
        <v>0</v>
      </c>
      <c r="I435">
        <v>1</v>
      </c>
      <c r="J435">
        <v>4</v>
      </c>
      <c r="K435">
        <v>0</v>
      </c>
      <c r="L435">
        <v>0</v>
      </c>
      <c r="M435">
        <v>5</v>
      </c>
      <c r="N435">
        <v>7</v>
      </c>
      <c r="O435" s="2" t="s">
        <v>2304</v>
      </c>
      <c r="P435" s="4">
        <v>873</v>
      </c>
      <c r="Q435" t="s">
        <v>316</v>
      </c>
      <c r="R435" t="str">
        <f>IF(Table3[[#This Row],[Narodowość]]&lt;&gt;"Polska","Tak","Nie")</f>
        <v>Nie</v>
      </c>
    </row>
    <row r="436" spans="1:18" x14ac:dyDescent="0.25">
      <c r="A436" t="s">
        <v>121</v>
      </c>
      <c r="B436" t="s">
        <v>324</v>
      </c>
      <c r="C436">
        <v>30</v>
      </c>
      <c r="D436" t="s">
        <v>347</v>
      </c>
      <c r="E436" t="s">
        <v>390</v>
      </c>
      <c r="F436">
        <v>23</v>
      </c>
      <c r="G436">
        <v>21</v>
      </c>
      <c r="H436">
        <v>4</v>
      </c>
      <c r="I436">
        <v>1</v>
      </c>
      <c r="J436">
        <v>4</v>
      </c>
      <c r="K436">
        <v>0</v>
      </c>
      <c r="L436">
        <v>0</v>
      </c>
      <c r="M436">
        <v>10</v>
      </c>
      <c r="N436">
        <v>8</v>
      </c>
      <c r="O436" s="2" t="s">
        <v>2361</v>
      </c>
      <c r="P436" s="4">
        <v>991</v>
      </c>
      <c r="Q436" t="s">
        <v>338</v>
      </c>
      <c r="R436" t="str">
        <f>IF(Table3[[#This Row],[Narodowość]]&lt;&gt;"Polska","Tak","Nie")</f>
        <v>Tak</v>
      </c>
    </row>
    <row r="437" spans="1:18" x14ac:dyDescent="0.25">
      <c r="A437" t="s">
        <v>413</v>
      </c>
      <c r="B437" t="s">
        <v>325</v>
      </c>
      <c r="C437">
        <v>29</v>
      </c>
      <c r="D437" t="s">
        <v>347</v>
      </c>
      <c r="E437" t="s">
        <v>333</v>
      </c>
      <c r="F437">
        <v>11</v>
      </c>
      <c r="G437">
        <v>10</v>
      </c>
      <c r="H437">
        <v>1</v>
      </c>
      <c r="I437">
        <v>3</v>
      </c>
      <c r="J437">
        <v>2</v>
      </c>
      <c r="K437">
        <v>0</v>
      </c>
      <c r="L437">
        <v>0</v>
      </c>
      <c r="M437">
        <v>3</v>
      </c>
      <c r="N437">
        <v>6</v>
      </c>
      <c r="O437" s="2" t="s">
        <v>2281</v>
      </c>
      <c r="P437" s="4">
        <v>555</v>
      </c>
      <c r="Q437" t="s">
        <v>23</v>
      </c>
      <c r="R437" t="str">
        <f>IF(Table3[[#This Row],[Narodowość]]&lt;&gt;"Polska","Tak","Nie")</f>
        <v>Tak</v>
      </c>
    </row>
    <row r="438" spans="1:18" x14ac:dyDescent="0.25">
      <c r="A438" t="s">
        <v>108</v>
      </c>
      <c r="B438" t="s">
        <v>382</v>
      </c>
      <c r="C438">
        <v>32</v>
      </c>
      <c r="D438" t="s">
        <v>364</v>
      </c>
      <c r="F438">
        <v>31</v>
      </c>
      <c r="G438">
        <v>31</v>
      </c>
      <c r="H438">
        <v>0</v>
      </c>
      <c r="I438">
        <v>2</v>
      </c>
      <c r="J438">
        <v>8</v>
      </c>
      <c r="K438">
        <v>0</v>
      </c>
      <c r="L438">
        <v>0</v>
      </c>
      <c r="M438">
        <v>0</v>
      </c>
      <c r="N438">
        <v>3</v>
      </c>
      <c r="O438" s="2" t="s">
        <v>2358</v>
      </c>
      <c r="P438" s="4">
        <v>2756</v>
      </c>
      <c r="Q438" t="s">
        <v>338</v>
      </c>
      <c r="R438" t="str">
        <f>IF(Table3[[#This Row],[Narodowość]]&lt;&gt;"Polska","Tak","Nie")</f>
        <v>Tak</v>
      </c>
    </row>
    <row r="439" spans="1:18" x14ac:dyDescent="0.25">
      <c r="A439" t="s">
        <v>1590</v>
      </c>
      <c r="B439" t="s">
        <v>326</v>
      </c>
      <c r="C439">
        <v>24</v>
      </c>
      <c r="D439" t="s">
        <v>333</v>
      </c>
      <c r="F439">
        <v>16</v>
      </c>
      <c r="G439">
        <v>16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11</v>
      </c>
      <c r="N439">
        <v>4</v>
      </c>
      <c r="O439" s="2" t="s">
        <v>2279</v>
      </c>
      <c r="P439" s="4">
        <v>591</v>
      </c>
      <c r="Q439" t="s">
        <v>349</v>
      </c>
      <c r="R439" t="str">
        <f>IF(Table3[[#This Row],[Narodowość]]&lt;&gt;"Polska","Tak","Nie")</f>
        <v>Tak</v>
      </c>
    </row>
    <row r="440" spans="1:18" x14ac:dyDescent="0.25">
      <c r="A440" t="s">
        <v>461</v>
      </c>
      <c r="B440" t="s">
        <v>325</v>
      </c>
      <c r="C440">
        <v>35</v>
      </c>
      <c r="D440" t="s">
        <v>478</v>
      </c>
      <c r="E440" t="s">
        <v>336</v>
      </c>
      <c r="F440">
        <v>32</v>
      </c>
      <c r="G440">
        <v>23</v>
      </c>
      <c r="H440">
        <v>1</v>
      </c>
      <c r="I440">
        <v>1</v>
      </c>
      <c r="J440">
        <v>1</v>
      </c>
      <c r="K440">
        <v>0</v>
      </c>
      <c r="L440">
        <v>0</v>
      </c>
      <c r="M440">
        <v>18</v>
      </c>
      <c r="N440">
        <v>5</v>
      </c>
      <c r="O440" s="2" t="s">
        <v>2357</v>
      </c>
      <c r="P440" s="4">
        <v>649</v>
      </c>
      <c r="Q440" t="s">
        <v>315</v>
      </c>
      <c r="R440" t="str">
        <f>IF(Table3[[#This Row],[Narodowość]]&lt;&gt;"Polska","Tak","Nie")</f>
        <v>Tak</v>
      </c>
    </row>
    <row r="441" spans="1:18" x14ac:dyDescent="0.25">
      <c r="A441" t="s">
        <v>163</v>
      </c>
      <c r="B441" t="s">
        <v>326</v>
      </c>
      <c r="C441">
        <v>18</v>
      </c>
      <c r="D441" t="s">
        <v>337</v>
      </c>
      <c r="F441">
        <v>27</v>
      </c>
      <c r="G441">
        <v>18</v>
      </c>
      <c r="H441">
        <v>1</v>
      </c>
      <c r="I441">
        <v>3</v>
      </c>
      <c r="J441">
        <v>3</v>
      </c>
      <c r="K441">
        <v>0</v>
      </c>
      <c r="L441">
        <v>0</v>
      </c>
      <c r="M441">
        <v>12</v>
      </c>
      <c r="N441">
        <v>6</v>
      </c>
      <c r="O441" s="2" t="s">
        <v>2346</v>
      </c>
      <c r="P441" s="4">
        <v>497</v>
      </c>
      <c r="Q441" t="s">
        <v>341</v>
      </c>
      <c r="R441" t="str">
        <f>IF(Table3[[#This Row],[Narodowość]]&lt;&gt;"Polska","Tak","Nie")</f>
        <v>Nie</v>
      </c>
    </row>
    <row r="442" spans="1:18" x14ac:dyDescent="0.25">
      <c r="A442" t="s">
        <v>159</v>
      </c>
      <c r="B442" t="s">
        <v>382</v>
      </c>
      <c r="C442">
        <v>26</v>
      </c>
      <c r="D442" t="s">
        <v>337</v>
      </c>
      <c r="F442">
        <v>30</v>
      </c>
      <c r="G442">
        <v>14</v>
      </c>
      <c r="H442">
        <v>0</v>
      </c>
      <c r="I442">
        <v>1</v>
      </c>
      <c r="J442">
        <v>2</v>
      </c>
      <c r="K442">
        <v>0</v>
      </c>
      <c r="L442">
        <v>0</v>
      </c>
      <c r="M442">
        <v>3</v>
      </c>
      <c r="N442">
        <v>1</v>
      </c>
      <c r="O442" s="2" t="s">
        <v>2293</v>
      </c>
      <c r="P442" s="4">
        <v>1012</v>
      </c>
      <c r="Q442" t="s">
        <v>341</v>
      </c>
      <c r="R442" t="str">
        <f>IF(Table3[[#This Row],[Narodowość]]&lt;&gt;"Polska","Tak","Nie")</f>
        <v>Nie</v>
      </c>
    </row>
    <row r="443" spans="1:18" x14ac:dyDescent="0.25">
      <c r="A443" t="s">
        <v>1960</v>
      </c>
      <c r="B443" t="s">
        <v>382</v>
      </c>
      <c r="C443">
        <v>27</v>
      </c>
      <c r="D443" t="s">
        <v>401</v>
      </c>
      <c r="F443">
        <v>12</v>
      </c>
      <c r="G443">
        <v>10</v>
      </c>
      <c r="H443">
        <v>0</v>
      </c>
      <c r="I443">
        <v>0</v>
      </c>
      <c r="J443">
        <v>3</v>
      </c>
      <c r="K443">
        <v>1</v>
      </c>
      <c r="L443">
        <v>1</v>
      </c>
      <c r="M443">
        <v>0</v>
      </c>
      <c r="N443">
        <v>0</v>
      </c>
      <c r="O443" s="2" t="s">
        <v>2392</v>
      </c>
      <c r="P443" s="4">
        <v>841</v>
      </c>
      <c r="Q443" t="s">
        <v>345</v>
      </c>
      <c r="R443" t="str">
        <f>IF(Table3[[#This Row],[Narodowość]]&lt;&gt;"Polska","Tak","Nie")</f>
        <v>Tak</v>
      </c>
    </row>
    <row r="444" spans="1:18" x14ac:dyDescent="0.25">
      <c r="A444" t="s">
        <v>283</v>
      </c>
      <c r="B444" t="s">
        <v>325</v>
      </c>
      <c r="C444">
        <v>26</v>
      </c>
      <c r="D444" t="s">
        <v>364</v>
      </c>
      <c r="F444">
        <v>31</v>
      </c>
      <c r="G444">
        <v>27</v>
      </c>
      <c r="H444">
        <v>4</v>
      </c>
      <c r="I444">
        <v>3</v>
      </c>
      <c r="J444">
        <v>3</v>
      </c>
      <c r="K444">
        <v>0</v>
      </c>
      <c r="L444">
        <v>0</v>
      </c>
      <c r="M444">
        <v>14</v>
      </c>
      <c r="N444">
        <v>13</v>
      </c>
      <c r="O444" s="2" t="s">
        <v>2389</v>
      </c>
      <c r="P444" s="4">
        <v>1181</v>
      </c>
      <c r="Q444" t="s">
        <v>339</v>
      </c>
      <c r="R444" t="str">
        <f>IF(Table3[[#This Row],[Narodowość]]&lt;&gt;"Polska","Tak","Nie")</f>
        <v>Tak</v>
      </c>
    </row>
    <row r="445" spans="1:18" x14ac:dyDescent="0.25">
      <c r="A445" t="s">
        <v>440</v>
      </c>
      <c r="B445" t="s">
        <v>331</v>
      </c>
      <c r="C445">
        <v>27</v>
      </c>
      <c r="D445" t="s">
        <v>388</v>
      </c>
      <c r="F445">
        <v>21</v>
      </c>
      <c r="G445">
        <v>19</v>
      </c>
      <c r="H445">
        <v>1</v>
      </c>
      <c r="I445">
        <v>1</v>
      </c>
      <c r="J445">
        <v>2</v>
      </c>
      <c r="K445">
        <v>0</v>
      </c>
      <c r="L445">
        <v>0</v>
      </c>
      <c r="M445">
        <v>3</v>
      </c>
      <c r="N445">
        <v>8</v>
      </c>
      <c r="O445" s="2" t="s">
        <v>2345</v>
      </c>
      <c r="P445" s="4">
        <v>1340</v>
      </c>
      <c r="Q445" t="s">
        <v>332</v>
      </c>
      <c r="R445" t="str">
        <f>IF(Table3[[#This Row],[Narodowość]]&lt;&gt;"Polska","Tak","Nie")</f>
        <v>Tak</v>
      </c>
    </row>
    <row r="446" spans="1:18" x14ac:dyDescent="0.25">
      <c r="A446" t="s">
        <v>440</v>
      </c>
      <c r="B446" t="s">
        <v>331</v>
      </c>
      <c r="C446">
        <v>27</v>
      </c>
      <c r="D446" t="s">
        <v>388</v>
      </c>
      <c r="F446">
        <v>11</v>
      </c>
      <c r="G446">
        <v>10</v>
      </c>
      <c r="H446">
        <v>0</v>
      </c>
      <c r="I446">
        <v>1</v>
      </c>
      <c r="J446">
        <v>1</v>
      </c>
      <c r="K446">
        <v>0</v>
      </c>
      <c r="L446">
        <v>0</v>
      </c>
      <c r="M446">
        <v>0</v>
      </c>
      <c r="N446">
        <v>2</v>
      </c>
      <c r="O446" s="2" t="s">
        <v>2441</v>
      </c>
      <c r="P446" s="4">
        <v>836</v>
      </c>
      <c r="Q446" t="s">
        <v>383</v>
      </c>
      <c r="R446" t="str">
        <f>IF(Table3[[#This Row],[Narodowość]]&lt;&gt;"Polska","Tak","Nie")</f>
        <v>Tak</v>
      </c>
    </row>
    <row r="447" spans="1:18" x14ac:dyDescent="0.25">
      <c r="A447" t="s">
        <v>299</v>
      </c>
      <c r="B447" t="s">
        <v>325</v>
      </c>
      <c r="C447">
        <v>31</v>
      </c>
      <c r="D447" t="s">
        <v>362</v>
      </c>
      <c r="F447">
        <v>15</v>
      </c>
      <c r="G447">
        <v>15</v>
      </c>
      <c r="H447">
        <v>4</v>
      </c>
      <c r="I447">
        <v>2</v>
      </c>
      <c r="J447">
        <v>1</v>
      </c>
      <c r="K447">
        <v>0</v>
      </c>
      <c r="L447">
        <v>0</v>
      </c>
      <c r="M447">
        <v>7</v>
      </c>
      <c r="N447">
        <v>4</v>
      </c>
      <c r="O447" s="2" t="s">
        <v>2392</v>
      </c>
      <c r="P447" s="4">
        <v>864</v>
      </c>
      <c r="Q447" t="s">
        <v>340</v>
      </c>
      <c r="R447" t="str">
        <f>IF(Table3[[#This Row],[Narodowość]]&lt;&gt;"Polska","Tak","Nie")</f>
        <v>Tak</v>
      </c>
    </row>
    <row r="448" spans="1:18" x14ac:dyDescent="0.25">
      <c r="A448" t="s">
        <v>144</v>
      </c>
      <c r="B448" t="s">
        <v>352</v>
      </c>
      <c r="C448">
        <v>27</v>
      </c>
      <c r="D448" t="s">
        <v>337</v>
      </c>
      <c r="F448">
        <v>31</v>
      </c>
      <c r="G448">
        <v>31</v>
      </c>
      <c r="H448">
        <v>2</v>
      </c>
      <c r="I448">
        <v>4</v>
      </c>
      <c r="J448">
        <v>1</v>
      </c>
      <c r="K448">
        <v>0</v>
      </c>
      <c r="L448">
        <v>0</v>
      </c>
      <c r="M448">
        <v>2</v>
      </c>
      <c r="N448">
        <v>3</v>
      </c>
      <c r="O448" s="2" t="s">
        <v>2370</v>
      </c>
      <c r="P448" s="4">
        <v>2537</v>
      </c>
      <c r="Q448" t="s">
        <v>344</v>
      </c>
      <c r="R448" t="str">
        <f>IF(Table3[[#This Row],[Narodowość]]&lt;&gt;"Polska","Tak","Nie")</f>
        <v>Nie</v>
      </c>
    </row>
    <row r="449" spans="1:18" x14ac:dyDescent="0.25">
      <c r="A449" t="s">
        <v>82</v>
      </c>
      <c r="B449" t="s">
        <v>331</v>
      </c>
      <c r="C449">
        <v>30</v>
      </c>
      <c r="D449" t="s">
        <v>362</v>
      </c>
      <c r="F449">
        <v>33</v>
      </c>
      <c r="G449">
        <v>33</v>
      </c>
      <c r="H449">
        <v>0</v>
      </c>
      <c r="I449">
        <v>4</v>
      </c>
      <c r="J449">
        <v>5</v>
      </c>
      <c r="K449">
        <v>0</v>
      </c>
      <c r="L449">
        <v>0</v>
      </c>
      <c r="M449">
        <v>6</v>
      </c>
      <c r="N449">
        <v>17</v>
      </c>
      <c r="O449" s="2" t="s">
        <v>2388</v>
      </c>
      <c r="P449" s="4">
        <v>2330</v>
      </c>
      <c r="Q449" t="s">
        <v>361</v>
      </c>
      <c r="R449" t="str">
        <f>IF(Table3[[#This Row],[Narodowość]]&lt;&gt;"Polska","Tak","Nie")</f>
        <v>Tak</v>
      </c>
    </row>
    <row r="450" spans="1:18" x14ac:dyDescent="0.25">
      <c r="A450" t="s">
        <v>517</v>
      </c>
      <c r="B450" t="s">
        <v>359</v>
      </c>
      <c r="C450">
        <v>32</v>
      </c>
      <c r="D450" t="s">
        <v>362</v>
      </c>
      <c r="F450">
        <v>14</v>
      </c>
      <c r="G450">
        <v>13</v>
      </c>
      <c r="H450">
        <v>0</v>
      </c>
      <c r="I450">
        <v>1</v>
      </c>
      <c r="J450">
        <v>2</v>
      </c>
      <c r="K450">
        <v>0</v>
      </c>
      <c r="L450">
        <v>0</v>
      </c>
      <c r="M450">
        <v>11</v>
      </c>
      <c r="N450">
        <v>2</v>
      </c>
      <c r="O450" s="2" t="s">
        <v>2371</v>
      </c>
      <c r="P450" s="4">
        <v>344</v>
      </c>
      <c r="Q450" t="s">
        <v>316</v>
      </c>
      <c r="R450" t="str">
        <f>IF(Table3[[#This Row],[Narodowość]]&lt;&gt;"Polska","Tak","Nie")</f>
        <v>Tak</v>
      </c>
    </row>
    <row r="451" spans="1:18" x14ac:dyDescent="0.25">
      <c r="A451" t="s">
        <v>258</v>
      </c>
      <c r="B451" t="s">
        <v>357</v>
      </c>
      <c r="C451">
        <v>28</v>
      </c>
      <c r="D451" t="s">
        <v>362</v>
      </c>
      <c r="F451">
        <v>33</v>
      </c>
      <c r="G451">
        <v>31</v>
      </c>
      <c r="H451">
        <v>0</v>
      </c>
      <c r="I451">
        <v>5</v>
      </c>
      <c r="J451">
        <v>1</v>
      </c>
      <c r="K451">
        <v>0</v>
      </c>
      <c r="L451">
        <v>0</v>
      </c>
      <c r="M451">
        <v>0</v>
      </c>
      <c r="N451">
        <v>2</v>
      </c>
      <c r="O451" s="2" t="s">
        <v>2301</v>
      </c>
      <c r="P451" s="4">
        <v>2749</v>
      </c>
      <c r="Q451" t="s">
        <v>383</v>
      </c>
      <c r="R451" t="str">
        <f>IF(Table3[[#This Row],[Narodowość]]&lt;&gt;"Polska","Tak","Nie")</f>
        <v>Tak</v>
      </c>
    </row>
    <row r="452" spans="1:18" x14ac:dyDescent="0.25">
      <c r="A452" t="s">
        <v>6</v>
      </c>
      <c r="B452" t="s">
        <v>357</v>
      </c>
      <c r="C452">
        <v>28</v>
      </c>
      <c r="D452" t="s">
        <v>362</v>
      </c>
      <c r="F452">
        <v>14</v>
      </c>
      <c r="G452">
        <v>13</v>
      </c>
      <c r="H452">
        <v>0</v>
      </c>
      <c r="I452">
        <v>0</v>
      </c>
      <c r="J452">
        <v>2</v>
      </c>
      <c r="K452">
        <v>0</v>
      </c>
      <c r="L452">
        <v>0</v>
      </c>
      <c r="M452">
        <v>1</v>
      </c>
      <c r="N452">
        <v>3</v>
      </c>
      <c r="O452" s="2" t="s">
        <v>2436</v>
      </c>
      <c r="P452" s="4">
        <v>1040</v>
      </c>
      <c r="Q452" t="s">
        <v>316</v>
      </c>
      <c r="R452" t="str">
        <f>IF(Table3[[#This Row],[Narodowość]]&lt;&gt;"Polska","Tak","Nie")</f>
        <v>Tak</v>
      </c>
    </row>
    <row r="453" spans="1:18" x14ac:dyDescent="0.25">
      <c r="A453" t="s">
        <v>32</v>
      </c>
      <c r="B453" t="s">
        <v>382</v>
      </c>
      <c r="C453">
        <v>25</v>
      </c>
      <c r="D453" t="s">
        <v>364</v>
      </c>
      <c r="F453">
        <v>32</v>
      </c>
      <c r="G453">
        <v>32</v>
      </c>
      <c r="H453">
        <v>2</v>
      </c>
      <c r="I453">
        <v>1</v>
      </c>
      <c r="J453">
        <v>9</v>
      </c>
      <c r="K453">
        <v>0</v>
      </c>
      <c r="L453">
        <v>0</v>
      </c>
      <c r="M453">
        <v>0</v>
      </c>
      <c r="N453">
        <v>0</v>
      </c>
      <c r="O453" s="2" t="s">
        <v>2401</v>
      </c>
      <c r="P453" s="4">
        <v>2880</v>
      </c>
      <c r="Q453" t="s">
        <v>23</v>
      </c>
      <c r="R453" t="str">
        <f>IF(Table3[[#This Row],[Narodowość]]&lt;&gt;"Polska","Tak","Nie")</f>
        <v>Tak</v>
      </c>
    </row>
    <row r="454" spans="1:18" x14ac:dyDescent="0.25">
      <c r="A454" t="s">
        <v>286</v>
      </c>
      <c r="B454" t="s">
        <v>357</v>
      </c>
      <c r="C454">
        <v>23</v>
      </c>
      <c r="D454" t="s">
        <v>337</v>
      </c>
      <c r="F454">
        <v>27</v>
      </c>
      <c r="G454">
        <v>26</v>
      </c>
      <c r="H454">
        <v>2</v>
      </c>
      <c r="I454">
        <v>2</v>
      </c>
      <c r="J454">
        <v>7</v>
      </c>
      <c r="K454">
        <v>1</v>
      </c>
      <c r="L454">
        <v>0</v>
      </c>
      <c r="M454">
        <v>2</v>
      </c>
      <c r="N454">
        <v>7</v>
      </c>
      <c r="O454" s="2" t="s">
        <v>2307</v>
      </c>
      <c r="P454" s="4">
        <v>2144</v>
      </c>
      <c r="Q454" t="s">
        <v>340</v>
      </c>
      <c r="R454" t="str">
        <f>IF(Table3[[#This Row],[Narodowość]]&lt;&gt;"Polska","Tak","Nie")</f>
        <v>Nie</v>
      </c>
    </row>
    <row r="455" spans="1:18" x14ac:dyDescent="0.25">
      <c r="A455" t="s">
        <v>1291</v>
      </c>
      <c r="B455" t="s">
        <v>382</v>
      </c>
      <c r="C455">
        <v>31</v>
      </c>
      <c r="D455" t="s">
        <v>337</v>
      </c>
      <c r="F455">
        <v>13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 s="2">
        <v>0</v>
      </c>
      <c r="P455" s="4">
        <v>0</v>
      </c>
      <c r="Q455" t="s">
        <v>315</v>
      </c>
      <c r="R455" t="str">
        <f>IF(Table3[[#This Row],[Narodowość]]&lt;&gt;"Polska","Tak","Nie")</f>
        <v>Nie</v>
      </c>
    </row>
    <row r="456" spans="1:18" x14ac:dyDescent="0.25">
      <c r="A456" t="s">
        <v>62</v>
      </c>
      <c r="B456" t="s">
        <v>325</v>
      </c>
      <c r="C456">
        <v>31</v>
      </c>
      <c r="D456" t="s">
        <v>337</v>
      </c>
      <c r="F456">
        <v>31</v>
      </c>
      <c r="G456">
        <v>26</v>
      </c>
      <c r="H456">
        <v>1</v>
      </c>
      <c r="I456">
        <v>2</v>
      </c>
      <c r="J456">
        <v>2</v>
      </c>
      <c r="K456">
        <v>0</v>
      </c>
      <c r="L456">
        <v>0</v>
      </c>
      <c r="M456">
        <v>16</v>
      </c>
      <c r="N456">
        <v>4</v>
      </c>
      <c r="O456" s="2" t="s">
        <v>2390</v>
      </c>
      <c r="P456" s="4">
        <v>1081</v>
      </c>
      <c r="Q456" t="s">
        <v>317</v>
      </c>
      <c r="R456" t="str">
        <f>IF(Table3[[#This Row],[Narodowość]]&lt;&gt;"Polska","Tak","Nie")</f>
        <v>Nie</v>
      </c>
    </row>
    <row r="457" spans="1:18" x14ac:dyDescent="0.25">
      <c r="A457" t="s">
        <v>175</v>
      </c>
      <c r="B457" t="s">
        <v>382</v>
      </c>
      <c r="C457">
        <v>29</v>
      </c>
      <c r="D457" t="s">
        <v>337</v>
      </c>
      <c r="F457">
        <v>33</v>
      </c>
      <c r="G457">
        <v>33</v>
      </c>
      <c r="H457">
        <v>0</v>
      </c>
      <c r="I457">
        <v>0</v>
      </c>
      <c r="J457">
        <v>5</v>
      </c>
      <c r="K457">
        <v>0</v>
      </c>
      <c r="L457">
        <v>0</v>
      </c>
      <c r="M457">
        <v>0</v>
      </c>
      <c r="N457">
        <v>0</v>
      </c>
      <c r="O457" s="2" t="s">
        <v>2366</v>
      </c>
      <c r="P457" s="4">
        <v>2970</v>
      </c>
      <c r="Q457" t="s">
        <v>315</v>
      </c>
      <c r="R457" t="str">
        <f>IF(Table3[[#This Row],[Narodowość]]&lt;&gt;"Polska","Tak","Nie")</f>
        <v>Nie</v>
      </c>
    </row>
    <row r="458" spans="1:18" x14ac:dyDescent="0.25">
      <c r="A458" t="s">
        <v>477</v>
      </c>
      <c r="B458" t="s">
        <v>324</v>
      </c>
      <c r="C458">
        <v>23</v>
      </c>
      <c r="D458" t="s">
        <v>337</v>
      </c>
      <c r="F458">
        <v>19</v>
      </c>
      <c r="G458">
        <v>17</v>
      </c>
      <c r="H458">
        <v>1</v>
      </c>
      <c r="I458">
        <v>0</v>
      </c>
      <c r="J458">
        <v>1</v>
      </c>
      <c r="K458">
        <v>0</v>
      </c>
      <c r="L458">
        <v>0</v>
      </c>
      <c r="M458">
        <v>12</v>
      </c>
      <c r="N458">
        <v>5</v>
      </c>
      <c r="O458" s="2" t="s">
        <v>2409</v>
      </c>
      <c r="P458" s="4">
        <v>572</v>
      </c>
      <c r="Q458" t="s">
        <v>349</v>
      </c>
      <c r="R458" t="str">
        <f>IF(Table3[[#This Row],[Narodowość]]&lt;&gt;"Polska","Tak","Nie")</f>
        <v>Nie</v>
      </c>
    </row>
    <row r="459" spans="1:18" x14ac:dyDescent="0.25">
      <c r="A459" t="s">
        <v>2275</v>
      </c>
      <c r="B459" t="s">
        <v>325</v>
      </c>
      <c r="C459">
        <v>18</v>
      </c>
      <c r="D459" t="s">
        <v>337</v>
      </c>
      <c r="F459">
        <v>1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 s="2">
        <v>0</v>
      </c>
      <c r="P459" s="4">
        <v>0</v>
      </c>
      <c r="Q459" t="s">
        <v>348</v>
      </c>
      <c r="R459" t="str">
        <f>IF(Table3[[#This Row],[Narodowość]]&lt;&gt;"Polska","Tak","Nie")</f>
        <v>Nie</v>
      </c>
    </row>
    <row r="460" spans="1:18" x14ac:dyDescent="0.25">
      <c r="A460" t="s">
        <v>630</v>
      </c>
      <c r="B460" t="s">
        <v>382</v>
      </c>
      <c r="C460">
        <v>21</v>
      </c>
      <c r="D460" t="s">
        <v>337</v>
      </c>
      <c r="F460">
        <v>5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 s="2" t="s">
        <v>2291</v>
      </c>
      <c r="P460" s="4">
        <v>4</v>
      </c>
      <c r="Q460" t="s">
        <v>318</v>
      </c>
      <c r="R460" t="str">
        <f>IF(Table3[[#This Row],[Narodowość]]&lt;&gt;"Polska","Tak","Nie")</f>
        <v>Nie</v>
      </c>
    </row>
    <row r="461" spans="1:18" x14ac:dyDescent="0.25">
      <c r="A461" t="s">
        <v>630</v>
      </c>
      <c r="B461" t="s">
        <v>382</v>
      </c>
      <c r="C461">
        <v>21</v>
      </c>
      <c r="D461" t="s">
        <v>337</v>
      </c>
      <c r="F461">
        <v>5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 s="2">
        <v>0</v>
      </c>
      <c r="P461" s="4">
        <v>0</v>
      </c>
      <c r="Q461" t="s">
        <v>315</v>
      </c>
      <c r="R461" t="str">
        <f>IF(Table3[[#This Row],[Narodowość]]&lt;&gt;"Polska","Tak","Nie")</f>
        <v>Nie</v>
      </c>
    </row>
    <row r="462" spans="1:18" x14ac:dyDescent="0.25">
      <c r="A462" t="s">
        <v>5</v>
      </c>
      <c r="B462" t="s">
        <v>376</v>
      </c>
      <c r="C462">
        <v>25</v>
      </c>
      <c r="D462" t="s">
        <v>337</v>
      </c>
      <c r="F462">
        <v>26</v>
      </c>
      <c r="G462">
        <v>26</v>
      </c>
      <c r="H462">
        <v>2</v>
      </c>
      <c r="I462">
        <v>4</v>
      </c>
      <c r="J462">
        <v>4</v>
      </c>
      <c r="K462">
        <v>0</v>
      </c>
      <c r="L462">
        <v>0</v>
      </c>
      <c r="M462">
        <v>0</v>
      </c>
      <c r="N462">
        <v>7</v>
      </c>
      <c r="O462" s="2" t="s">
        <v>2303</v>
      </c>
      <c r="P462" s="4">
        <v>2150</v>
      </c>
      <c r="Q462" t="s">
        <v>316</v>
      </c>
      <c r="R462" t="str">
        <f>IF(Table3[[#This Row],[Narodowość]]&lt;&gt;"Polska","Tak","Nie")</f>
        <v>Nie</v>
      </c>
    </row>
    <row r="463" spans="1:18" x14ac:dyDescent="0.25">
      <c r="A463" t="s">
        <v>458</v>
      </c>
      <c r="B463" t="s">
        <v>382</v>
      </c>
      <c r="C463">
        <v>23</v>
      </c>
      <c r="D463" t="s">
        <v>337</v>
      </c>
      <c r="F463">
        <v>18</v>
      </c>
      <c r="G463">
        <v>10</v>
      </c>
      <c r="H463">
        <v>1</v>
      </c>
      <c r="I463">
        <v>1</v>
      </c>
      <c r="J463">
        <v>3</v>
      </c>
      <c r="K463">
        <v>0</v>
      </c>
      <c r="L463">
        <v>0</v>
      </c>
      <c r="M463">
        <v>0</v>
      </c>
      <c r="N463">
        <v>3</v>
      </c>
      <c r="O463" s="2" t="s">
        <v>2290</v>
      </c>
      <c r="P463" s="4">
        <v>775</v>
      </c>
      <c r="Q463" t="s">
        <v>318</v>
      </c>
      <c r="R463" t="str">
        <f>IF(Table3[[#This Row],[Narodowość]]&lt;&gt;"Polska","Tak","Nie")</f>
        <v>Nie</v>
      </c>
    </row>
    <row r="464" spans="1:18" x14ac:dyDescent="0.25">
      <c r="A464" t="s">
        <v>1827</v>
      </c>
      <c r="B464" t="s">
        <v>331</v>
      </c>
      <c r="C464">
        <v>18</v>
      </c>
      <c r="D464" t="s">
        <v>337</v>
      </c>
      <c r="F464">
        <v>2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 s="2">
        <v>0</v>
      </c>
      <c r="P464" s="4">
        <v>0</v>
      </c>
      <c r="Q464" t="s">
        <v>340</v>
      </c>
      <c r="R464" t="str">
        <f>IF(Table3[[#This Row],[Narodowość]]&lt;&gt;"Polska","Tak","Nie")</f>
        <v>Nie</v>
      </c>
    </row>
    <row r="465" spans="1:18" x14ac:dyDescent="0.25">
      <c r="A465" t="s">
        <v>171</v>
      </c>
      <c r="B465" t="s">
        <v>0</v>
      </c>
      <c r="C465">
        <v>20</v>
      </c>
      <c r="D465" t="s">
        <v>337</v>
      </c>
      <c r="F465">
        <v>2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 s="2">
        <v>0</v>
      </c>
      <c r="P465" s="4">
        <v>0</v>
      </c>
      <c r="Q465" t="s">
        <v>318</v>
      </c>
      <c r="R465" t="str">
        <f>IF(Table3[[#This Row],[Narodowość]]&lt;&gt;"Polska","Tak","Nie")</f>
        <v>Nie</v>
      </c>
    </row>
    <row r="466" spans="1:18" x14ac:dyDescent="0.25">
      <c r="A466" t="s">
        <v>171</v>
      </c>
      <c r="B466" t="s">
        <v>0</v>
      </c>
      <c r="C466">
        <v>20</v>
      </c>
      <c r="D466" t="s">
        <v>337</v>
      </c>
      <c r="F466">
        <v>29</v>
      </c>
      <c r="G466">
        <v>1</v>
      </c>
      <c r="H466">
        <v>0</v>
      </c>
      <c r="I466">
        <v>0</v>
      </c>
      <c r="J466">
        <v>2</v>
      </c>
      <c r="K466">
        <v>0</v>
      </c>
      <c r="L466">
        <v>0</v>
      </c>
      <c r="M466">
        <v>0</v>
      </c>
      <c r="N466">
        <v>0</v>
      </c>
      <c r="O466" s="2" t="s">
        <v>2291</v>
      </c>
      <c r="P466" s="4">
        <v>90</v>
      </c>
      <c r="Q466" t="s">
        <v>315</v>
      </c>
      <c r="R466" t="str">
        <f>IF(Table3[[#This Row],[Narodowość]]&lt;&gt;"Polska","Tak","Nie")</f>
        <v>Nie</v>
      </c>
    </row>
    <row r="467" spans="1:18" x14ac:dyDescent="0.25">
      <c r="A467" t="s">
        <v>1764</v>
      </c>
      <c r="B467" t="s">
        <v>325</v>
      </c>
      <c r="C467">
        <v>15</v>
      </c>
      <c r="D467" t="s">
        <v>337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 s="2">
        <v>0</v>
      </c>
      <c r="P467" s="4">
        <v>0</v>
      </c>
      <c r="Q467" t="s">
        <v>361</v>
      </c>
      <c r="R467" t="str">
        <f>IF(Table3[[#This Row],[Narodowość]]&lt;&gt;"Polska","Tak","Nie")</f>
        <v>Nie</v>
      </c>
    </row>
    <row r="468" spans="1:18" x14ac:dyDescent="0.25">
      <c r="A468" t="s">
        <v>249</v>
      </c>
      <c r="B468" t="s">
        <v>331</v>
      </c>
      <c r="C468">
        <v>29</v>
      </c>
      <c r="D468" t="s">
        <v>337</v>
      </c>
      <c r="F468">
        <v>32</v>
      </c>
      <c r="G468">
        <v>32</v>
      </c>
      <c r="H468">
        <v>1</v>
      </c>
      <c r="I468">
        <v>2</v>
      </c>
      <c r="J468">
        <v>9</v>
      </c>
      <c r="K468">
        <v>0</v>
      </c>
      <c r="L468">
        <v>0</v>
      </c>
      <c r="M468">
        <v>4</v>
      </c>
      <c r="N468">
        <v>5</v>
      </c>
      <c r="O468" s="2" t="s">
        <v>2397</v>
      </c>
      <c r="P468" s="4">
        <v>2523</v>
      </c>
      <c r="Q468" t="s">
        <v>349</v>
      </c>
      <c r="R468" t="str">
        <f>IF(Table3[[#This Row],[Narodowość]]&lt;&gt;"Polska","Tak","Nie")</f>
        <v>Nie</v>
      </c>
    </row>
    <row r="469" spans="1:18" x14ac:dyDescent="0.25">
      <c r="A469" t="s">
        <v>501</v>
      </c>
      <c r="B469" t="s">
        <v>325</v>
      </c>
      <c r="C469">
        <v>30</v>
      </c>
      <c r="D469" t="s">
        <v>337</v>
      </c>
      <c r="F469">
        <v>22</v>
      </c>
      <c r="G469">
        <v>22</v>
      </c>
      <c r="H469">
        <v>1</v>
      </c>
      <c r="I469">
        <v>0</v>
      </c>
      <c r="J469">
        <v>2</v>
      </c>
      <c r="K469">
        <v>0</v>
      </c>
      <c r="L469">
        <v>0</v>
      </c>
      <c r="M469">
        <v>15</v>
      </c>
      <c r="N469">
        <v>5</v>
      </c>
      <c r="O469" s="2" t="s">
        <v>2413</v>
      </c>
      <c r="P469" s="4">
        <v>821</v>
      </c>
      <c r="Q469" t="s">
        <v>349</v>
      </c>
      <c r="R469" t="str">
        <f>IF(Table3[[#This Row],[Narodowość]]&lt;&gt;"Polska","Tak","Nie")</f>
        <v>Nie</v>
      </c>
    </row>
    <row r="470" spans="1:18" x14ac:dyDescent="0.25">
      <c r="A470" t="s">
        <v>455</v>
      </c>
      <c r="B470" t="s">
        <v>330</v>
      </c>
      <c r="C470">
        <v>18</v>
      </c>
      <c r="D470" t="s">
        <v>337</v>
      </c>
      <c r="F470">
        <v>30</v>
      </c>
      <c r="G470">
        <v>19</v>
      </c>
      <c r="H470">
        <v>1</v>
      </c>
      <c r="I470">
        <v>1</v>
      </c>
      <c r="J470">
        <v>3</v>
      </c>
      <c r="K470">
        <v>0</v>
      </c>
      <c r="L470">
        <v>0</v>
      </c>
      <c r="M470">
        <v>15</v>
      </c>
      <c r="N470">
        <v>4</v>
      </c>
      <c r="O470" s="2" t="s">
        <v>2351</v>
      </c>
      <c r="P470" s="4">
        <v>673</v>
      </c>
      <c r="Q470" t="s">
        <v>341</v>
      </c>
      <c r="R470" t="str">
        <f>IF(Table3[[#This Row],[Narodowość]]&lt;&gt;"Polska","Tak","Nie")</f>
        <v>Nie</v>
      </c>
    </row>
    <row r="471" spans="1:18" x14ac:dyDescent="0.25">
      <c r="A471" t="s">
        <v>2120</v>
      </c>
      <c r="B471" t="s">
        <v>0</v>
      </c>
      <c r="C471">
        <v>24</v>
      </c>
      <c r="D471" t="s">
        <v>337</v>
      </c>
      <c r="F471">
        <v>1</v>
      </c>
      <c r="G471">
        <v>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 s="2" t="s">
        <v>2296</v>
      </c>
      <c r="P471" s="4">
        <v>90</v>
      </c>
      <c r="Q471" t="s">
        <v>383</v>
      </c>
      <c r="R471" t="str">
        <f>IF(Table3[[#This Row],[Narodowość]]&lt;&gt;"Polska","Tak","Nie")</f>
        <v>Nie</v>
      </c>
    </row>
    <row r="472" spans="1:18" x14ac:dyDescent="0.25">
      <c r="A472" t="s">
        <v>212</v>
      </c>
      <c r="B472" t="s">
        <v>324</v>
      </c>
      <c r="C472">
        <v>29</v>
      </c>
      <c r="D472" t="s">
        <v>337</v>
      </c>
      <c r="F472">
        <v>20</v>
      </c>
      <c r="G472">
        <v>20</v>
      </c>
      <c r="H472">
        <v>7</v>
      </c>
      <c r="I472">
        <v>5</v>
      </c>
      <c r="J472">
        <v>3</v>
      </c>
      <c r="K472">
        <v>0</v>
      </c>
      <c r="L472">
        <v>0</v>
      </c>
      <c r="M472">
        <v>0</v>
      </c>
      <c r="N472">
        <v>16</v>
      </c>
      <c r="O472" s="2" t="s">
        <v>2281</v>
      </c>
      <c r="P472" s="4">
        <v>1543</v>
      </c>
      <c r="Q472" t="s">
        <v>319</v>
      </c>
      <c r="R472" t="str">
        <f>IF(Table3[[#This Row],[Narodowość]]&lt;&gt;"Polska","Tak","Nie")</f>
        <v>Nie</v>
      </c>
    </row>
    <row r="473" spans="1:18" x14ac:dyDescent="0.25">
      <c r="A473" t="s">
        <v>213</v>
      </c>
      <c r="B473" t="s">
        <v>382</v>
      </c>
      <c r="C473">
        <v>30</v>
      </c>
      <c r="D473" t="s">
        <v>337</v>
      </c>
      <c r="F473">
        <v>34</v>
      </c>
      <c r="G473">
        <v>34</v>
      </c>
      <c r="H473">
        <v>1</v>
      </c>
      <c r="I473">
        <v>3</v>
      </c>
      <c r="J473">
        <v>3</v>
      </c>
      <c r="K473">
        <v>0</v>
      </c>
      <c r="L473">
        <v>0</v>
      </c>
      <c r="M473">
        <v>1</v>
      </c>
      <c r="N473">
        <v>1</v>
      </c>
      <c r="O473" s="2" t="s">
        <v>2427</v>
      </c>
      <c r="P473" s="4">
        <v>2967</v>
      </c>
      <c r="Q473" t="s">
        <v>319</v>
      </c>
      <c r="R473" t="str">
        <f>IF(Table3[[#This Row],[Narodowość]]&lt;&gt;"Polska","Tak","Nie")</f>
        <v>Nie</v>
      </c>
    </row>
    <row r="474" spans="1:18" x14ac:dyDescent="0.25">
      <c r="A474" t="s">
        <v>492</v>
      </c>
      <c r="B474" t="s">
        <v>326</v>
      </c>
      <c r="C474">
        <v>20</v>
      </c>
      <c r="D474" t="s">
        <v>337</v>
      </c>
      <c r="F474">
        <v>25</v>
      </c>
      <c r="G474">
        <v>23</v>
      </c>
      <c r="H474">
        <v>1</v>
      </c>
      <c r="I474">
        <v>0</v>
      </c>
      <c r="J474">
        <v>3</v>
      </c>
      <c r="K474">
        <v>0</v>
      </c>
      <c r="L474">
        <v>0</v>
      </c>
      <c r="M474">
        <v>11</v>
      </c>
      <c r="N474">
        <v>12</v>
      </c>
      <c r="O474" s="2" t="s">
        <v>2391</v>
      </c>
      <c r="P474" s="4">
        <v>1053</v>
      </c>
      <c r="Q474" t="s">
        <v>383</v>
      </c>
      <c r="R474" t="str">
        <f>IF(Table3[[#This Row],[Narodowość]]&lt;&gt;"Polska","Tak","Nie")</f>
        <v>Nie</v>
      </c>
    </row>
    <row r="475" spans="1:18" x14ac:dyDescent="0.25">
      <c r="A475" t="s">
        <v>1516</v>
      </c>
      <c r="B475" t="s">
        <v>382</v>
      </c>
      <c r="C475">
        <v>18</v>
      </c>
      <c r="D475" t="s">
        <v>337</v>
      </c>
      <c r="F475">
        <v>1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 s="2">
        <v>0</v>
      </c>
      <c r="P475" s="4">
        <v>0</v>
      </c>
      <c r="Q475" t="s">
        <v>23</v>
      </c>
      <c r="R475" t="str">
        <f>IF(Table3[[#This Row],[Narodowość]]&lt;&gt;"Polska","Tak","Nie")</f>
        <v>Nie</v>
      </c>
    </row>
    <row r="476" spans="1:18" x14ac:dyDescent="0.25">
      <c r="A476" t="s">
        <v>372</v>
      </c>
      <c r="B476" t="s">
        <v>324</v>
      </c>
      <c r="C476">
        <v>20</v>
      </c>
      <c r="D476" t="s">
        <v>337</v>
      </c>
      <c r="F476">
        <v>15</v>
      </c>
      <c r="G476">
        <v>15</v>
      </c>
      <c r="H476">
        <v>4</v>
      </c>
      <c r="I476">
        <v>3</v>
      </c>
      <c r="J476">
        <v>0</v>
      </c>
      <c r="K476">
        <v>0</v>
      </c>
      <c r="L476">
        <v>0</v>
      </c>
      <c r="M476">
        <v>1</v>
      </c>
      <c r="N476">
        <v>10</v>
      </c>
      <c r="O476" s="2" t="s">
        <v>2281</v>
      </c>
      <c r="P476" s="4">
        <v>1119</v>
      </c>
      <c r="Q476" t="s">
        <v>345</v>
      </c>
      <c r="R476" t="str">
        <f>IF(Table3[[#This Row],[Narodowość]]&lt;&gt;"Polska","Tak","Nie")</f>
        <v>Nie</v>
      </c>
    </row>
    <row r="477" spans="1:18" x14ac:dyDescent="0.25">
      <c r="A477" t="s">
        <v>183</v>
      </c>
      <c r="B477" t="s">
        <v>324</v>
      </c>
      <c r="C477">
        <v>28</v>
      </c>
      <c r="D477" t="s">
        <v>337</v>
      </c>
      <c r="F477">
        <v>26</v>
      </c>
      <c r="G477">
        <v>21</v>
      </c>
      <c r="H477">
        <v>1</v>
      </c>
      <c r="I477">
        <v>2</v>
      </c>
      <c r="J477">
        <v>3</v>
      </c>
      <c r="K477">
        <v>0</v>
      </c>
      <c r="L477">
        <v>0</v>
      </c>
      <c r="M477">
        <v>11</v>
      </c>
      <c r="N477">
        <v>8</v>
      </c>
      <c r="O477" s="2" t="s">
        <v>2385</v>
      </c>
      <c r="P477" s="4">
        <v>1005</v>
      </c>
      <c r="Q477" t="s">
        <v>315</v>
      </c>
      <c r="R477" t="str">
        <f>IF(Table3[[#This Row],[Narodowość]]&lt;&gt;"Polska","Tak","Nie")</f>
        <v>Nie</v>
      </c>
    </row>
    <row r="478" spans="1:18" x14ac:dyDescent="0.25">
      <c r="A478" t="s">
        <v>101</v>
      </c>
      <c r="B478" t="s">
        <v>382</v>
      </c>
      <c r="C478">
        <v>20</v>
      </c>
      <c r="D478" t="s">
        <v>337</v>
      </c>
      <c r="F478">
        <v>17</v>
      </c>
      <c r="G478">
        <v>2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2</v>
      </c>
      <c r="N478">
        <v>0</v>
      </c>
      <c r="O478" s="2" t="s">
        <v>2296</v>
      </c>
      <c r="P478" s="4">
        <v>21</v>
      </c>
      <c r="Q478" t="s">
        <v>334</v>
      </c>
      <c r="R478" t="str">
        <f>IF(Table3[[#This Row],[Narodowość]]&lt;&gt;"Polska","Tak","Nie")</f>
        <v>Nie</v>
      </c>
    </row>
    <row r="479" spans="1:18" x14ac:dyDescent="0.25">
      <c r="A479" t="s">
        <v>1589</v>
      </c>
      <c r="B479" t="s">
        <v>324</v>
      </c>
      <c r="C479">
        <v>22</v>
      </c>
      <c r="D479" t="s">
        <v>337</v>
      </c>
      <c r="F479">
        <v>7</v>
      </c>
      <c r="G479">
        <v>2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2</v>
      </c>
      <c r="N479">
        <v>0</v>
      </c>
      <c r="O479" s="2" t="s">
        <v>2314</v>
      </c>
      <c r="P479" s="4">
        <v>17</v>
      </c>
      <c r="Q479" t="s">
        <v>349</v>
      </c>
      <c r="R479" t="str">
        <f>IF(Table3[[#This Row],[Narodowość]]&lt;&gt;"Polska","Tak","Nie")</f>
        <v>Nie</v>
      </c>
    </row>
    <row r="480" spans="1:18" x14ac:dyDescent="0.25">
      <c r="A480" t="s">
        <v>280</v>
      </c>
      <c r="B480" t="s">
        <v>324</v>
      </c>
      <c r="C480">
        <v>28</v>
      </c>
      <c r="D480" t="s">
        <v>337</v>
      </c>
      <c r="F480">
        <v>31</v>
      </c>
      <c r="G480">
        <v>31</v>
      </c>
      <c r="H480">
        <v>5</v>
      </c>
      <c r="I480">
        <v>4</v>
      </c>
      <c r="J480">
        <v>8</v>
      </c>
      <c r="K480">
        <v>0</v>
      </c>
      <c r="L480">
        <v>0</v>
      </c>
      <c r="M480">
        <v>0</v>
      </c>
      <c r="N480">
        <v>9</v>
      </c>
      <c r="O480" s="2" t="s">
        <v>2373</v>
      </c>
      <c r="P480" s="4">
        <v>2669</v>
      </c>
      <c r="Q480" t="s">
        <v>339</v>
      </c>
      <c r="R480" t="str">
        <f>IF(Table3[[#This Row],[Narodowość]]&lt;&gt;"Polska","Tak","Nie")</f>
        <v>Nie</v>
      </c>
    </row>
    <row r="481" spans="1:18" x14ac:dyDescent="0.25">
      <c r="A481" t="s">
        <v>200</v>
      </c>
      <c r="B481" t="s">
        <v>324</v>
      </c>
      <c r="C481">
        <v>24</v>
      </c>
      <c r="D481" t="s">
        <v>337</v>
      </c>
      <c r="F481">
        <v>34</v>
      </c>
      <c r="G481">
        <v>33</v>
      </c>
      <c r="H481">
        <v>7</v>
      </c>
      <c r="I481">
        <v>3</v>
      </c>
      <c r="J481">
        <v>3</v>
      </c>
      <c r="K481">
        <v>0</v>
      </c>
      <c r="L481">
        <v>0</v>
      </c>
      <c r="M481">
        <v>10</v>
      </c>
      <c r="N481">
        <v>19</v>
      </c>
      <c r="O481" s="2" t="s">
        <v>2314</v>
      </c>
      <c r="P481" s="4">
        <v>2170</v>
      </c>
      <c r="Q481" t="s">
        <v>332</v>
      </c>
      <c r="R481" t="str">
        <f>IF(Table3[[#This Row],[Narodowość]]&lt;&gt;"Polska","Tak","Nie")</f>
        <v>Nie</v>
      </c>
    </row>
    <row r="482" spans="1:18" x14ac:dyDescent="0.25">
      <c r="A482" t="s">
        <v>132</v>
      </c>
      <c r="B482" t="s">
        <v>382</v>
      </c>
      <c r="C482">
        <v>24</v>
      </c>
      <c r="D482" t="s">
        <v>337</v>
      </c>
      <c r="F482">
        <v>30</v>
      </c>
      <c r="G482">
        <v>30</v>
      </c>
      <c r="H482">
        <v>4</v>
      </c>
      <c r="I482">
        <v>2</v>
      </c>
      <c r="J482">
        <v>8</v>
      </c>
      <c r="K482">
        <v>0</v>
      </c>
      <c r="L482">
        <v>0</v>
      </c>
      <c r="M482">
        <v>0</v>
      </c>
      <c r="N482">
        <v>1</v>
      </c>
      <c r="O482" s="2" t="s">
        <v>2284</v>
      </c>
      <c r="P482" s="4">
        <v>2693</v>
      </c>
      <c r="Q482" t="s">
        <v>318</v>
      </c>
      <c r="R482" t="str">
        <f>IF(Table3[[#This Row],[Narodowość]]&lt;&gt;"Polska","Tak","Nie")</f>
        <v>Nie</v>
      </c>
    </row>
    <row r="483" spans="1:18" x14ac:dyDescent="0.25">
      <c r="A483" t="s">
        <v>152</v>
      </c>
      <c r="B483" t="s">
        <v>359</v>
      </c>
      <c r="C483">
        <v>20</v>
      </c>
      <c r="D483" t="s">
        <v>337</v>
      </c>
      <c r="F483">
        <v>22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 s="2">
        <v>0</v>
      </c>
      <c r="P483" s="4">
        <v>0</v>
      </c>
      <c r="Q483" t="s">
        <v>344</v>
      </c>
      <c r="R483" t="str">
        <f>IF(Table3[[#This Row],[Narodowość]]&lt;&gt;"Polska","Tak","Nie")</f>
        <v>Nie</v>
      </c>
    </row>
    <row r="484" spans="1:18" x14ac:dyDescent="0.25">
      <c r="A484" t="s">
        <v>1871</v>
      </c>
      <c r="B484" t="s">
        <v>352</v>
      </c>
      <c r="C484">
        <v>21</v>
      </c>
      <c r="D484" t="s">
        <v>337</v>
      </c>
      <c r="F484">
        <v>5</v>
      </c>
      <c r="G484">
        <v>3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3</v>
      </c>
      <c r="N484">
        <v>0</v>
      </c>
      <c r="O484" s="2" t="s">
        <v>2368</v>
      </c>
      <c r="P484" s="4">
        <v>51</v>
      </c>
      <c r="Q484" t="s">
        <v>319</v>
      </c>
      <c r="R484" t="str">
        <f>IF(Table3[[#This Row],[Narodowość]]&lt;&gt;"Polska","Tak","Nie")</f>
        <v>Nie</v>
      </c>
    </row>
    <row r="485" spans="1:18" x14ac:dyDescent="0.25">
      <c r="A485" t="s">
        <v>1419</v>
      </c>
      <c r="B485" t="s">
        <v>352</v>
      </c>
      <c r="C485">
        <v>17</v>
      </c>
      <c r="D485" t="s">
        <v>337</v>
      </c>
      <c r="F485">
        <v>7</v>
      </c>
      <c r="G485">
        <v>2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2</v>
      </c>
      <c r="N485">
        <v>0</v>
      </c>
      <c r="O485" s="2" t="s">
        <v>2283</v>
      </c>
      <c r="P485" s="4">
        <v>38</v>
      </c>
      <c r="Q485" t="s">
        <v>317</v>
      </c>
      <c r="R485" t="str">
        <f>IF(Table3[[#This Row],[Narodowość]]&lt;&gt;"Polska","Tak","Nie")</f>
        <v>Nie</v>
      </c>
    </row>
    <row r="486" spans="1:18" x14ac:dyDescent="0.25">
      <c r="A486" t="s">
        <v>431</v>
      </c>
      <c r="B486" t="s">
        <v>376</v>
      </c>
      <c r="C486">
        <v>19</v>
      </c>
      <c r="D486" t="s">
        <v>337</v>
      </c>
      <c r="F486">
        <v>19</v>
      </c>
      <c r="G486">
        <v>18</v>
      </c>
      <c r="H486">
        <v>2</v>
      </c>
      <c r="I486">
        <v>1</v>
      </c>
      <c r="J486">
        <v>2</v>
      </c>
      <c r="K486">
        <v>0</v>
      </c>
      <c r="L486">
        <v>0</v>
      </c>
      <c r="M486">
        <v>6</v>
      </c>
      <c r="N486">
        <v>5</v>
      </c>
      <c r="O486" s="2" t="s">
        <v>2354</v>
      </c>
      <c r="P486" s="4">
        <v>1215</v>
      </c>
      <c r="Q486" t="s">
        <v>338</v>
      </c>
      <c r="R486" t="str">
        <f>IF(Table3[[#This Row],[Narodowość]]&lt;&gt;"Polska","Tak","Nie")</f>
        <v>Nie</v>
      </c>
    </row>
    <row r="487" spans="1:18" x14ac:dyDescent="0.25">
      <c r="A487" t="s">
        <v>450</v>
      </c>
      <c r="B487" t="s">
        <v>382</v>
      </c>
      <c r="C487">
        <v>22</v>
      </c>
      <c r="D487" t="s">
        <v>337</v>
      </c>
      <c r="F487">
        <v>33</v>
      </c>
      <c r="G487">
        <v>32</v>
      </c>
      <c r="H487">
        <v>2</v>
      </c>
      <c r="I487">
        <v>0</v>
      </c>
      <c r="J487">
        <v>6</v>
      </c>
      <c r="K487">
        <v>1</v>
      </c>
      <c r="L487">
        <v>0</v>
      </c>
      <c r="M487">
        <v>4</v>
      </c>
      <c r="N487">
        <v>3</v>
      </c>
      <c r="O487" s="2" t="s">
        <v>2412</v>
      </c>
      <c r="P487" s="4">
        <v>2525</v>
      </c>
      <c r="Q487" t="s">
        <v>319</v>
      </c>
      <c r="R487" t="str">
        <f>IF(Table3[[#This Row],[Narodowość]]&lt;&gt;"Polska","Tak","Nie")</f>
        <v>Nie</v>
      </c>
    </row>
    <row r="488" spans="1:18" x14ac:dyDescent="0.25">
      <c r="A488" t="s">
        <v>35</v>
      </c>
      <c r="B488" t="s">
        <v>331</v>
      </c>
      <c r="C488">
        <v>25</v>
      </c>
      <c r="D488" t="s">
        <v>422</v>
      </c>
      <c r="F488">
        <v>32</v>
      </c>
      <c r="G488">
        <v>28</v>
      </c>
      <c r="H488">
        <v>2</v>
      </c>
      <c r="I488">
        <v>1</v>
      </c>
      <c r="J488">
        <v>3</v>
      </c>
      <c r="K488">
        <v>0</v>
      </c>
      <c r="L488">
        <v>0</v>
      </c>
      <c r="M488">
        <v>8</v>
      </c>
      <c r="N488">
        <v>8</v>
      </c>
      <c r="O488" s="2" t="s">
        <v>2388</v>
      </c>
      <c r="P488" s="4">
        <v>1864</v>
      </c>
      <c r="Q488" t="s">
        <v>23</v>
      </c>
      <c r="R488" t="str">
        <f>IF(Table3[[#This Row],[Narodowość]]&lt;&gt;"Polska","Tak","Nie")</f>
        <v>Tak</v>
      </c>
    </row>
    <row r="489" spans="1:18" x14ac:dyDescent="0.25">
      <c r="A489" t="s">
        <v>128</v>
      </c>
      <c r="B489" t="s">
        <v>352</v>
      </c>
      <c r="C489">
        <v>29</v>
      </c>
      <c r="D489" t="s">
        <v>335</v>
      </c>
      <c r="F489">
        <v>22</v>
      </c>
      <c r="G489">
        <v>20</v>
      </c>
      <c r="H489">
        <v>1</v>
      </c>
      <c r="I489">
        <v>1</v>
      </c>
      <c r="J489">
        <v>7</v>
      </c>
      <c r="K489">
        <v>0</v>
      </c>
      <c r="L489">
        <v>0</v>
      </c>
      <c r="M489">
        <v>2</v>
      </c>
      <c r="N489">
        <v>5</v>
      </c>
      <c r="O489" s="2" t="s">
        <v>2283</v>
      </c>
      <c r="P489" s="4">
        <v>1583</v>
      </c>
      <c r="Q489" t="s">
        <v>318</v>
      </c>
      <c r="R489" t="str">
        <f>IF(Table3[[#This Row],[Narodowość]]&lt;&gt;"Polska","Tak","Nie")</f>
        <v>Tak</v>
      </c>
    </row>
    <row r="490" spans="1:18" x14ac:dyDescent="0.25">
      <c r="A490" t="s">
        <v>220</v>
      </c>
      <c r="B490" t="s">
        <v>0</v>
      </c>
      <c r="C490">
        <v>36</v>
      </c>
      <c r="D490" t="s">
        <v>350</v>
      </c>
      <c r="F490">
        <v>33</v>
      </c>
      <c r="G490">
        <v>9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 s="2" t="s">
        <v>2301</v>
      </c>
      <c r="P490" s="4">
        <v>810</v>
      </c>
      <c r="Q490" t="s">
        <v>345</v>
      </c>
      <c r="R490" t="str">
        <f>IF(Table3[[#This Row],[Narodowość]]&lt;&gt;"Polska","Tak","Nie")</f>
        <v>Tak</v>
      </c>
    </row>
    <row r="491" spans="1:18" x14ac:dyDescent="0.25">
      <c r="A491" t="s">
        <v>187</v>
      </c>
      <c r="B491" t="s">
        <v>325</v>
      </c>
      <c r="C491">
        <v>27</v>
      </c>
      <c r="D491" t="s">
        <v>370</v>
      </c>
      <c r="F491">
        <v>33</v>
      </c>
      <c r="G491">
        <v>31</v>
      </c>
      <c r="H491">
        <v>5</v>
      </c>
      <c r="I491">
        <v>2</v>
      </c>
      <c r="J491">
        <v>1</v>
      </c>
      <c r="K491">
        <v>0</v>
      </c>
      <c r="L491">
        <v>0</v>
      </c>
      <c r="M491">
        <v>9</v>
      </c>
      <c r="N491">
        <v>20</v>
      </c>
      <c r="O491" s="2" t="s">
        <v>2306</v>
      </c>
      <c r="P491" s="4">
        <v>1802</v>
      </c>
      <c r="Q491" t="s">
        <v>315</v>
      </c>
      <c r="R491" t="str">
        <f>IF(Table3[[#This Row],[Narodowość]]&lt;&gt;"Polska","Tak","Nie")</f>
        <v>Tak</v>
      </c>
    </row>
    <row r="492" spans="1:18" x14ac:dyDescent="0.25">
      <c r="A492" t="s">
        <v>177</v>
      </c>
      <c r="B492" t="s">
        <v>331</v>
      </c>
      <c r="C492">
        <v>28</v>
      </c>
      <c r="D492" t="s">
        <v>347</v>
      </c>
      <c r="F492">
        <v>25</v>
      </c>
      <c r="G492">
        <v>21</v>
      </c>
      <c r="H492">
        <v>0</v>
      </c>
      <c r="I492">
        <v>2</v>
      </c>
      <c r="J492">
        <v>4</v>
      </c>
      <c r="K492">
        <v>0</v>
      </c>
      <c r="L492">
        <v>0</v>
      </c>
      <c r="M492">
        <v>14</v>
      </c>
      <c r="N492">
        <v>3</v>
      </c>
      <c r="O492" s="2" t="s">
        <v>2357</v>
      </c>
      <c r="P492" s="4">
        <v>761</v>
      </c>
      <c r="Q492" t="s">
        <v>315</v>
      </c>
      <c r="R492" t="str">
        <f>IF(Table3[[#This Row],[Narodowość]]&lt;&gt;"Polska","Tak","Nie")</f>
        <v>Tak</v>
      </c>
    </row>
    <row r="493" spans="1:18" x14ac:dyDescent="0.25">
      <c r="A493" t="s">
        <v>147</v>
      </c>
      <c r="B493" t="s">
        <v>326</v>
      </c>
      <c r="C493">
        <v>20</v>
      </c>
      <c r="D493" t="s">
        <v>337</v>
      </c>
      <c r="E493" t="s">
        <v>385</v>
      </c>
      <c r="F493">
        <v>34</v>
      </c>
      <c r="G493">
        <v>18</v>
      </c>
      <c r="H493">
        <v>1</v>
      </c>
      <c r="I493">
        <v>0</v>
      </c>
      <c r="J493">
        <v>1</v>
      </c>
      <c r="K493">
        <v>0</v>
      </c>
      <c r="L493">
        <v>0</v>
      </c>
      <c r="M493">
        <v>16</v>
      </c>
      <c r="N493">
        <v>1</v>
      </c>
      <c r="O493" s="2" t="s">
        <v>2306</v>
      </c>
      <c r="P493" s="4">
        <v>418</v>
      </c>
      <c r="Q493" t="s">
        <v>344</v>
      </c>
      <c r="R493" t="str">
        <f>IF(Table3[[#This Row],[Narodowość]]&lt;&gt;"Polska","Tak","Nie")</f>
        <v>Nie</v>
      </c>
    </row>
    <row r="494" spans="1:18" x14ac:dyDescent="0.25">
      <c r="A494" t="s">
        <v>1869</v>
      </c>
      <c r="B494" t="s">
        <v>331</v>
      </c>
      <c r="C494">
        <v>17</v>
      </c>
      <c r="D494" t="s">
        <v>337</v>
      </c>
      <c r="E494" t="s">
        <v>1902</v>
      </c>
      <c r="F494">
        <v>6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 s="2" t="s">
        <v>2296</v>
      </c>
      <c r="P494" s="4">
        <v>4</v>
      </c>
      <c r="Q494" t="s">
        <v>319</v>
      </c>
      <c r="R494" t="str">
        <f>IF(Table3[[#This Row],[Narodowość]]&lt;&gt;"Polska","Tak","Nie")</f>
        <v>Nie</v>
      </c>
    </row>
    <row r="495" spans="1:18" x14ac:dyDescent="0.25">
      <c r="A495" t="s">
        <v>2070</v>
      </c>
      <c r="B495" t="s">
        <v>331</v>
      </c>
      <c r="C495">
        <v>24</v>
      </c>
      <c r="D495" t="s">
        <v>362</v>
      </c>
      <c r="F495">
        <v>14</v>
      </c>
      <c r="G495">
        <v>8</v>
      </c>
      <c r="H495">
        <v>0</v>
      </c>
      <c r="I495">
        <v>0</v>
      </c>
      <c r="J495">
        <v>2</v>
      </c>
      <c r="K495">
        <v>0</v>
      </c>
      <c r="L495">
        <v>0</v>
      </c>
      <c r="M495">
        <v>0</v>
      </c>
      <c r="N495">
        <v>3</v>
      </c>
      <c r="O495" s="2" t="s">
        <v>2383</v>
      </c>
      <c r="P495" s="4">
        <v>603</v>
      </c>
      <c r="Q495" t="s">
        <v>316</v>
      </c>
      <c r="R495" t="str">
        <f>IF(Table3[[#This Row],[Narodowość]]&lt;&gt;"Polska","Tak","Nie")</f>
        <v>Tak</v>
      </c>
    </row>
    <row r="496" spans="1:18" x14ac:dyDescent="0.25">
      <c r="A496" t="s">
        <v>1055</v>
      </c>
      <c r="B496" t="s">
        <v>0</v>
      </c>
      <c r="C496">
        <v>32</v>
      </c>
      <c r="D496" t="s">
        <v>337</v>
      </c>
      <c r="F496">
        <v>14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 s="2" t="s">
        <v>2291</v>
      </c>
      <c r="P496" s="4">
        <v>90</v>
      </c>
      <c r="Q496" t="s">
        <v>338</v>
      </c>
      <c r="R496" t="str">
        <f>IF(Table3[[#This Row],[Narodowość]]&lt;&gt;"Polska","Tak","Nie")</f>
        <v>Nie</v>
      </c>
    </row>
    <row r="497" spans="1:18" x14ac:dyDescent="0.25">
      <c r="A497" t="s">
        <v>373</v>
      </c>
      <c r="B497" t="s">
        <v>324</v>
      </c>
      <c r="C497">
        <v>29</v>
      </c>
      <c r="D497" t="s">
        <v>337</v>
      </c>
      <c r="F497">
        <v>31</v>
      </c>
      <c r="G497">
        <v>31</v>
      </c>
      <c r="H497">
        <v>4</v>
      </c>
      <c r="I497">
        <v>3</v>
      </c>
      <c r="J497">
        <v>6</v>
      </c>
      <c r="K497">
        <v>0</v>
      </c>
      <c r="L497">
        <v>0</v>
      </c>
      <c r="M497">
        <v>0</v>
      </c>
      <c r="N497">
        <v>9</v>
      </c>
      <c r="O497" s="2" t="s">
        <v>2369</v>
      </c>
      <c r="P497" s="4">
        <v>2635</v>
      </c>
      <c r="Q497" t="s">
        <v>344</v>
      </c>
      <c r="R497" t="str">
        <f>IF(Table3[[#This Row],[Narodowość]]&lt;&gt;"Polska","Tak","Nie")</f>
        <v>Nie</v>
      </c>
    </row>
    <row r="498" spans="1:18" x14ac:dyDescent="0.25">
      <c r="A498" t="s">
        <v>256</v>
      </c>
      <c r="B498" t="s">
        <v>382</v>
      </c>
      <c r="C498">
        <v>31</v>
      </c>
      <c r="D498" t="s">
        <v>362</v>
      </c>
      <c r="F498">
        <v>32</v>
      </c>
      <c r="G498">
        <v>31</v>
      </c>
      <c r="H498">
        <v>4</v>
      </c>
      <c r="I498">
        <v>1</v>
      </c>
      <c r="J498">
        <v>3</v>
      </c>
      <c r="K498">
        <v>0</v>
      </c>
      <c r="L498">
        <v>2</v>
      </c>
      <c r="M498">
        <v>0</v>
      </c>
      <c r="N498">
        <v>0</v>
      </c>
      <c r="O498" s="2" t="s">
        <v>2441</v>
      </c>
      <c r="P498" s="4">
        <v>2642</v>
      </c>
      <c r="Q498" t="s">
        <v>383</v>
      </c>
      <c r="R498" t="str">
        <f>IF(Table3[[#This Row],[Narodowość]]&lt;&gt;"Polska","Tak","Nie")</f>
        <v>Tak</v>
      </c>
    </row>
    <row r="499" spans="1:18" x14ac:dyDescent="0.25">
      <c r="A499" t="s">
        <v>1866</v>
      </c>
      <c r="B499" t="s">
        <v>0</v>
      </c>
      <c r="C499">
        <v>33</v>
      </c>
      <c r="D499" t="s">
        <v>337</v>
      </c>
      <c r="F499">
        <v>12</v>
      </c>
      <c r="G499">
        <v>3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 s="2" t="s">
        <v>2368</v>
      </c>
      <c r="P499" s="4">
        <v>270</v>
      </c>
      <c r="Q499" t="s">
        <v>319</v>
      </c>
      <c r="R499" t="str">
        <f>IF(Table3[[#This Row],[Narodowość]]&lt;&gt;"Polska","Tak","Nie")</f>
        <v>Nie</v>
      </c>
    </row>
    <row r="500" spans="1:18" x14ac:dyDescent="0.25">
      <c r="A500" t="s">
        <v>2254</v>
      </c>
      <c r="B500" t="s">
        <v>352</v>
      </c>
      <c r="C500">
        <v>21</v>
      </c>
      <c r="D500" t="s">
        <v>337</v>
      </c>
      <c r="F500">
        <v>25</v>
      </c>
      <c r="G500">
        <v>15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4</v>
      </c>
      <c r="N500">
        <v>9</v>
      </c>
      <c r="O500" s="2" t="s">
        <v>2392</v>
      </c>
      <c r="P500" s="4">
        <v>828</v>
      </c>
      <c r="Q500" t="s">
        <v>348</v>
      </c>
      <c r="R500" t="str">
        <f>IF(Table3[[#This Row],[Narodowość]]&lt;&gt;"Polska","Tak","Nie")</f>
        <v>Nie</v>
      </c>
    </row>
    <row r="501" spans="1:18" x14ac:dyDescent="0.25">
      <c r="A501" t="s">
        <v>14</v>
      </c>
      <c r="B501" t="s">
        <v>331</v>
      </c>
      <c r="C501">
        <v>26</v>
      </c>
      <c r="D501" t="s">
        <v>362</v>
      </c>
      <c r="F501">
        <v>33</v>
      </c>
      <c r="G501">
        <v>32</v>
      </c>
      <c r="H501">
        <v>1</v>
      </c>
      <c r="I501">
        <v>1</v>
      </c>
      <c r="J501">
        <v>3</v>
      </c>
      <c r="K501">
        <v>0</v>
      </c>
      <c r="L501">
        <v>0</v>
      </c>
      <c r="M501">
        <v>9</v>
      </c>
      <c r="N501">
        <v>11</v>
      </c>
      <c r="O501" s="2" t="s">
        <v>2432</v>
      </c>
      <c r="P501" s="4">
        <v>2060</v>
      </c>
      <c r="Q501" t="s">
        <v>316</v>
      </c>
      <c r="R501" t="str">
        <f>IF(Table3[[#This Row],[Narodowość]]&lt;&gt;"Polska","Tak","Nie")</f>
        <v>Tak</v>
      </c>
    </row>
    <row r="502" spans="1:18" x14ac:dyDescent="0.25">
      <c r="A502" t="s">
        <v>1588</v>
      </c>
      <c r="B502" t="s">
        <v>324</v>
      </c>
      <c r="C502">
        <v>28</v>
      </c>
      <c r="D502" t="s">
        <v>337</v>
      </c>
      <c r="F502">
        <v>19</v>
      </c>
      <c r="G502">
        <v>15</v>
      </c>
      <c r="H502">
        <v>0</v>
      </c>
      <c r="I502">
        <v>0</v>
      </c>
      <c r="J502">
        <v>2</v>
      </c>
      <c r="K502">
        <v>0</v>
      </c>
      <c r="L502">
        <v>0</v>
      </c>
      <c r="M502">
        <v>7</v>
      </c>
      <c r="N502">
        <v>7</v>
      </c>
      <c r="O502" s="2" t="s">
        <v>2400</v>
      </c>
      <c r="P502" s="4">
        <v>654</v>
      </c>
      <c r="Q502" t="s">
        <v>349</v>
      </c>
      <c r="R502" t="str">
        <f>IF(Table3[[#This Row],[Narodowość]]&lt;&gt;"Polska","Tak","Nie")</f>
        <v>Nie</v>
      </c>
    </row>
    <row r="503" spans="1:18" x14ac:dyDescent="0.25">
      <c r="A503" t="s">
        <v>513</v>
      </c>
      <c r="B503" t="s">
        <v>331</v>
      </c>
      <c r="C503">
        <v>23</v>
      </c>
      <c r="D503" t="s">
        <v>337</v>
      </c>
      <c r="F503">
        <v>13</v>
      </c>
      <c r="G503">
        <v>11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8</v>
      </c>
      <c r="N503">
        <v>3</v>
      </c>
      <c r="O503" s="2" t="s">
        <v>2338</v>
      </c>
      <c r="P503" s="4">
        <v>335</v>
      </c>
      <c r="Q503" t="s">
        <v>344</v>
      </c>
      <c r="R503" t="str">
        <f>IF(Table3[[#This Row],[Narodowość]]&lt;&gt;"Polska","Tak","Nie")</f>
        <v>Nie</v>
      </c>
    </row>
    <row r="504" spans="1:18" x14ac:dyDescent="0.25">
      <c r="A504" t="s">
        <v>513</v>
      </c>
      <c r="B504" t="s">
        <v>331</v>
      </c>
      <c r="C504">
        <v>23</v>
      </c>
      <c r="D504" t="s">
        <v>337</v>
      </c>
      <c r="F504">
        <v>18</v>
      </c>
      <c r="G504">
        <v>18</v>
      </c>
      <c r="H504">
        <v>0</v>
      </c>
      <c r="I504">
        <v>1</v>
      </c>
      <c r="J504">
        <v>6</v>
      </c>
      <c r="K504">
        <v>0</v>
      </c>
      <c r="L504">
        <v>0</v>
      </c>
      <c r="M504">
        <v>1</v>
      </c>
      <c r="N504">
        <v>4</v>
      </c>
      <c r="O504" s="2" t="s">
        <v>2346</v>
      </c>
      <c r="P504" s="4">
        <v>1483</v>
      </c>
      <c r="Q504" t="s">
        <v>315</v>
      </c>
      <c r="R504" t="str">
        <f>IF(Table3[[#This Row],[Narodowość]]&lt;&gt;"Polska","Tak","Nie")</f>
        <v>Nie</v>
      </c>
    </row>
    <row r="505" spans="1:18" x14ac:dyDescent="0.25">
      <c r="A505" t="s">
        <v>451</v>
      </c>
      <c r="B505" t="s">
        <v>331</v>
      </c>
      <c r="C505">
        <v>29</v>
      </c>
      <c r="D505" t="s">
        <v>337</v>
      </c>
      <c r="F505">
        <v>26</v>
      </c>
      <c r="G505">
        <v>26</v>
      </c>
      <c r="H505">
        <v>2</v>
      </c>
      <c r="I505">
        <v>0</v>
      </c>
      <c r="J505">
        <v>3</v>
      </c>
      <c r="K505">
        <v>0</v>
      </c>
      <c r="L505">
        <v>0</v>
      </c>
      <c r="M505">
        <v>9</v>
      </c>
      <c r="N505">
        <v>8</v>
      </c>
      <c r="O505" s="2" t="s">
        <v>2383</v>
      </c>
      <c r="P505" s="4">
        <v>1623</v>
      </c>
      <c r="Q505" t="s">
        <v>349</v>
      </c>
      <c r="R505" t="str">
        <f>IF(Table3[[#This Row],[Narodowość]]&lt;&gt;"Polska","Tak","Nie")</f>
        <v>Nie</v>
      </c>
    </row>
    <row r="506" spans="1:18" x14ac:dyDescent="0.25">
      <c r="A506" t="s">
        <v>2236</v>
      </c>
      <c r="B506" t="s">
        <v>376</v>
      </c>
      <c r="C506">
        <v>21</v>
      </c>
      <c r="D506" t="s">
        <v>337</v>
      </c>
      <c r="F506">
        <v>5</v>
      </c>
      <c r="G506">
        <v>2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2</v>
      </c>
      <c r="N506">
        <v>0</v>
      </c>
      <c r="O506" s="2" t="s">
        <v>2283</v>
      </c>
      <c r="P506" s="4">
        <v>3</v>
      </c>
      <c r="Q506" t="s">
        <v>348</v>
      </c>
      <c r="R506" t="str">
        <f>IF(Table3[[#This Row],[Narodowość]]&lt;&gt;"Polska","Tak","Nie")</f>
        <v>Nie</v>
      </c>
    </row>
    <row r="507" spans="1:18" x14ac:dyDescent="0.25">
      <c r="A507" t="s">
        <v>378</v>
      </c>
      <c r="B507" t="s">
        <v>328</v>
      </c>
      <c r="C507">
        <v>30</v>
      </c>
      <c r="D507" t="s">
        <v>337</v>
      </c>
      <c r="F507">
        <v>33</v>
      </c>
      <c r="G507">
        <v>32</v>
      </c>
      <c r="H507">
        <v>5</v>
      </c>
      <c r="I507">
        <v>1</v>
      </c>
      <c r="J507">
        <v>3</v>
      </c>
      <c r="K507">
        <v>0</v>
      </c>
      <c r="L507">
        <v>0</v>
      </c>
      <c r="M507">
        <v>18</v>
      </c>
      <c r="N507">
        <v>4</v>
      </c>
      <c r="O507" s="2" t="s">
        <v>2348</v>
      </c>
      <c r="P507" s="4">
        <v>1644</v>
      </c>
      <c r="Q507" t="s">
        <v>341</v>
      </c>
      <c r="R507" t="str">
        <f>IF(Table3[[#This Row],[Narodowość]]&lt;&gt;"Polska","Tak","Nie")</f>
        <v>Nie</v>
      </c>
    </row>
    <row r="508" spans="1:18" x14ac:dyDescent="0.25">
      <c r="A508" t="s">
        <v>536</v>
      </c>
      <c r="B508" t="s">
        <v>326</v>
      </c>
      <c r="C508">
        <v>29</v>
      </c>
      <c r="D508" t="s">
        <v>337</v>
      </c>
      <c r="F508">
        <v>28</v>
      </c>
      <c r="G508">
        <v>24</v>
      </c>
      <c r="H508">
        <v>0</v>
      </c>
      <c r="I508">
        <v>1</v>
      </c>
      <c r="J508">
        <v>2</v>
      </c>
      <c r="K508">
        <v>0</v>
      </c>
      <c r="L508">
        <v>0</v>
      </c>
      <c r="M508">
        <v>11</v>
      </c>
      <c r="N508">
        <v>8</v>
      </c>
      <c r="O508" s="2" t="s">
        <v>2431</v>
      </c>
      <c r="P508" s="4">
        <v>1196</v>
      </c>
      <c r="Q508" t="s">
        <v>348</v>
      </c>
      <c r="R508" t="str">
        <f>IF(Table3[[#This Row],[Narodowość]]&lt;&gt;"Polska","Tak","Nie")</f>
        <v>Nie</v>
      </c>
    </row>
    <row r="509" spans="1:18" x14ac:dyDescent="0.25">
      <c r="A509" t="s">
        <v>504</v>
      </c>
      <c r="B509" t="s">
        <v>382</v>
      </c>
      <c r="C509">
        <v>28</v>
      </c>
      <c r="D509" t="s">
        <v>337</v>
      </c>
      <c r="F509">
        <v>29</v>
      </c>
      <c r="G509">
        <v>28</v>
      </c>
      <c r="H509">
        <v>1</v>
      </c>
      <c r="I509">
        <v>0</v>
      </c>
      <c r="J509">
        <v>6</v>
      </c>
      <c r="K509">
        <v>1</v>
      </c>
      <c r="L509">
        <v>0</v>
      </c>
      <c r="M509">
        <v>0</v>
      </c>
      <c r="N509">
        <v>2</v>
      </c>
      <c r="O509" s="2" t="s">
        <v>2297</v>
      </c>
      <c r="P509" s="4">
        <v>2506</v>
      </c>
      <c r="Q509" t="s">
        <v>338</v>
      </c>
      <c r="R509" t="str">
        <f>IF(Table3[[#This Row],[Narodowość]]&lt;&gt;"Polska","Tak","Nie")</f>
        <v>Nie</v>
      </c>
    </row>
    <row r="510" spans="1:18" x14ac:dyDescent="0.25">
      <c r="A510" t="s">
        <v>504</v>
      </c>
      <c r="B510" t="s">
        <v>330</v>
      </c>
      <c r="C510">
        <v>26</v>
      </c>
      <c r="D510" t="s">
        <v>337</v>
      </c>
      <c r="F510">
        <v>23</v>
      </c>
      <c r="G510">
        <v>14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7</v>
      </c>
      <c r="N510">
        <v>6</v>
      </c>
      <c r="O510" s="2" t="s">
        <v>2282</v>
      </c>
      <c r="P510" s="4">
        <v>605</v>
      </c>
      <c r="Q510" t="s">
        <v>361</v>
      </c>
      <c r="R510" t="str">
        <f>IF(Table3[[#This Row],[Narodowość]]&lt;&gt;"Polska","Tak","Nie")</f>
        <v>Nie</v>
      </c>
    </row>
    <row r="511" spans="1:18" x14ac:dyDescent="0.25">
      <c r="A511" t="s">
        <v>1230</v>
      </c>
      <c r="B511" t="s">
        <v>0</v>
      </c>
      <c r="C511">
        <v>20</v>
      </c>
      <c r="D511" t="s">
        <v>337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 s="2">
        <v>0</v>
      </c>
      <c r="P511" s="4">
        <v>0</v>
      </c>
      <c r="Q511" t="s">
        <v>339</v>
      </c>
      <c r="R511" t="str">
        <f>IF(Table3[[#This Row],[Narodowość]]&lt;&gt;"Polska","Tak","Nie")</f>
        <v>Nie</v>
      </c>
    </row>
    <row r="512" spans="1:18" x14ac:dyDescent="0.25">
      <c r="A512" t="s">
        <v>2087</v>
      </c>
      <c r="B512" t="s">
        <v>330</v>
      </c>
      <c r="C512">
        <v>20</v>
      </c>
      <c r="D512" t="s">
        <v>337</v>
      </c>
      <c r="F512">
        <v>8</v>
      </c>
      <c r="G512">
        <v>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3</v>
      </c>
      <c r="N512">
        <v>1</v>
      </c>
      <c r="O512" s="2" t="s">
        <v>2301</v>
      </c>
      <c r="P512" s="4">
        <v>97</v>
      </c>
      <c r="Q512" t="s">
        <v>316</v>
      </c>
      <c r="R512" t="str">
        <f>IF(Table3[[#This Row],[Narodowość]]&lt;&gt;"Polska","Tak","Nie")</f>
        <v>Nie</v>
      </c>
    </row>
    <row r="513" spans="1:18" x14ac:dyDescent="0.25">
      <c r="A513" t="s">
        <v>512</v>
      </c>
      <c r="B513" t="s">
        <v>382</v>
      </c>
      <c r="C513">
        <v>33</v>
      </c>
      <c r="D513" t="s">
        <v>337</v>
      </c>
      <c r="F513">
        <v>29</v>
      </c>
      <c r="G513">
        <v>27</v>
      </c>
      <c r="H513">
        <v>0</v>
      </c>
      <c r="I513">
        <v>1</v>
      </c>
      <c r="J513">
        <v>4</v>
      </c>
      <c r="K513">
        <v>0</v>
      </c>
      <c r="L513">
        <v>0</v>
      </c>
      <c r="M513">
        <v>1</v>
      </c>
      <c r="N513">
        <v>2</v>
      </c>
      <c r="O513" s="2" t="s">
        <v>2389</v>
      </c>
      <c r="P513" s="4">
        <v>2349</v>
      </c>
      <c r="Q513" t="s">
        <v>361</v>
      </c>
      <c r="R513" t="str">
        <f>IF(Table3[[#This Row],[Narodowość]]&lt;&gt;"Polska","Tak","Nie")</f>
        <v>Nie</v>
      </c>
    </row>
    <row r="514" spans="1:18" x14ac:dyDescent="0.25">
      <c r="A514" t="s">
        <v>418</v>
      </c>
      <c r="B514" t="s">
        <v>324</v>
      </c>
      <c r="C514">
        <v>19</v>
      </c>
      <c r="D514" t="s">
        <v>337</v>
      </c>
      <c r="F514">
        <v>27</v>
      </c>
      <c r="G514">
        <v>24</v>
      </c>
      <c r="H514">
        <v>3</v>
      </c>
      <c r="I514">
        <v>0</v>
      </c>
      <c r="J514">
        <v>2</v>
      </c>
      <c r="K514">
        <v>0</v>
      </c>
      <c r="L514">
        <v>0</v>
      </c>
      <c r="M514">
        <v>8</v>
      </c>
      <c r="N514">
        <v>16</v>
      </c>
      <c r="O514" s="2" t="s">
        <v>2377</v>
      </c>
      <c r="P514" s="4">
        <v>1205</v>
      </c>
      <c r="Q514" t="s">
        <v>23</v>
      </c>
      <c r="R514" t="str">
        <f>IF(Table3[[#This Row],[Narodowość]]&lt;&gt;"Polska","Tak","Nie")</f>
        <v>Nie</v>
      </c>
    </row>
    <row r="515" spans="1:18" x14ac:dyDescent="0.25">
      <c r="A515" t="s">
        <v>1427</v>
      </c>
      <c r="B515" t="s">
        <v>359</v>
      </c>
      <c r="C515">
        <v>20</v>
      </c>
      <c r="D515" t="s">
        <v>337</v>
      </c>
      <c r="F515">
        <v>1</v>
      </c>
      <c r="G515">
        <v>1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 s="2" t="s">
        <v>2291</v>
      </c>
      <c r="P515" s="4">
        <v>12</v>
      </c>
      <c r="Q515" t="s">
        <v>317</v>
      </c>
      <c r="R515" t="str">
        <f>IF(Table3[[#This Row],[Narodowość]]&lt;&gt;"Polska","Tak","Nie")</f>
        <v>Nie</v>
      </c>
    </row>
    <row r="516" spans="1:18" x14ac:dyDescent="0.25">
      <c r="A516" t="s">
        <v>1768</v>
      </c>
      <c r="B516" t="s">
        <v>325</v>
      </c>
      <c r="C516">
        <v>17</v>
      </c>
      <c r="D516" t="s">
        <v>337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 s="2">
        <v>0</v>
      </c>
      <c r="P516" s="4">
        <v>0</v>
      </c>
      <c r="Q516" t="s">
        <v>361</v>
      </c>
      <c r="R516" t="str">
        <f>IF(Table3[[#This Row],[Narodowość]]&lt;&gt;"Polska","Tak","Nie")</f>
        <v>Nie</v>
      </c>
    </row>
    <row r="517" spans="1:18" x14ac:dyDescent="0.25">
      <c r="A517" t="s">
        <v>33</v>
      </c>
      <c r="B517" t="s">
        <v>359</v>
      </c>
      <c r="C517">
        <v>25</v>
      </c>
      <c r="D517" t="s">
        <v>350</v>
      </c>
      <c r="F517">
        <v>25</v>
      </c>
      <c r="G517">
        <v>24</v>
      </c>
      <c r="H517">
        <v>0</v>
      </c>
      <c r="I517">
        <v>4</v>
      </c>
      <c r="J517">
        <v>5</v>
      </c>
      <c r="K517">
        <v>0</v>
      </c>
      <c r="L517">
        <v>0</v>
      </c>
      <c r="M517">
        <v>5</v>
      </c>
      <c r="N517">
        <v>8</v>
      </c>
      <c r="O517" s="2" t="s">
        <v>2375</v>
      </c>
      <c r="P517" s="4">
        <v>1693</v>
      </c>
      <c r="Q517" t="s">
        <v>23</v>
      </c>
      <c r="R517" t="str">
        <f>IF(Table3[[#This Row],[Narodowość]]&lt;&gt;"Polska","Tak","Nie")</f>
        <v>Tak</v>
      </c>
    </row>
    <row r="518" spans="1:18" x14ac:dyDescent="0.25">
      <c r="A518" t="s">
        <v>421</v>
      </c>
      <c r="B518" t="s">
        <v>326</v>
      </c>
      <c r="C518">
        <v>21</v>
      </c>
      <c r="D518" t="s">
        <v>337</v>
      </c>
      <c r="F518">
        <v>32</v>
      </c>
      <c r="G518">
        <v>29</v>
      </c>
      <c r="H518">
        <v>2</v>
      </c>
      <c r="I518">
        <v>1</v>
      </c>
      <c r="J518">
        <v>4</v>
      </c>
      <c r="K518">
        <v>0</v>
      </c>
      <c r="L518">
        <v>0</v>
      </c>
      <c r="M518">
        <v>18</v>
      </c>
      <c r="N518">
        <v>10</v>
      </c>
      <c r="O518" s="2" t="s">
        <v>2320</v>
      </c>
      <c r="P518" s="4">
        <v>1180</v>
      </c>
      <c r="Q518" t="s">
        <v>334</v>
      </c>
      <c r="R518" t="str">
        <f>IF(Table3[[#This Row],[Narodowość]]&lt;&gt;"Polska","Tak","Nie")</f>
        <v>Nie</v>
      </c>
    </row>
    <row r="519" spans="1:18" x14ac:dyDescent="0.25">
      <c r="A519" t="s">
        <v>266</v>
      </c>
      <c r="B519" t="s">
        <v>324</v>
      </c>
      <c r="C519">
        <v>28</v>
      </c>
      <c r="D519" t="s">
        <v>350</v>
      </c>
      <c r="F519">
        <v>32</v>
      </c>
      <c r="G519">
        <v>28</v>
      </c>
      <c r="H519">
        <v>2</v>
      </c>
      <c r="I519">
        <v>4</v>
      </c>
      <c r="J519">
        <v>1</v>
      </c>
      <c r="K519">
        <v>0</v>
      </c>
      <c r="L519">
        <v>0</v>
      </c>
      <c r="M519">
        <v>6</v>
      </c>
      <c r="N519">
        <v>17</v>
      </c>
      <c r="O519" s="2" t="s">
        <v>2303</v>
      </c>
      <c r="P519" s="4">
        <v>1865</v>
      </c>
      <c r="Q519" t="s">
        <v>383</v>
      </c>
      <c r="R519" t="str">
        <f>IF(Table3[[#This Row],[Narodowość]]&lt;&gt;"Polska","Tak","Nie")</f>
        <v>Tak</v>
      </c>
    </row>
    <row r="520" spans="1:18" x14ac:dyDescent="0.25">
      <c r="A520" t="s">
        <v>1745</v>
      </c>
      <c r="B520" t="s">
        <v>328</v>
      </c>
      <c r="C520">
        <v>17</v>
      </c>
      <c r="D520" t="s">
        <v>337</v>
      </c>
      <c r="F520">
        <v>3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 s="2">
        <v>0</v>
      </c>
      <c r="P520" s="4">
        <v>0</v>
      </c>
      <c r="Q520" t="s">
        <v>361</v>
      </c>
      <c r="R520" t="str">
        <f>IF(Table3[[#This Row],[Narodowość]]&lt;&gt;"Polska","Tak","Nie")</f>
        <v>Nie</v>
      </c>
    </row>
    <row r="521" spans="1:18" x14ac:dyDescent="0.25">
      <c r="A521" t="s">
        <v>2273</v>
      </c>
      <c r="B521" t="s">
        <v>325</v>
      </c>
      <c r="C521">
        <v>16</v>
      </c>
      <c r="D521" t="s">
        <v>337</v>
      </c>
      <c r="F521">
        <v>1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 s="2" t="s">
        <v>2291</v>
      </c>
      <c r="P521" s="4">
        <v>0</v>
      </c>
      <c r="Q521" t="s">
        <v>348</v>
      </c>
      <c r="R521" t="str">
        <f>IF(Table3[[#This Row],[Narodowość]]&lt;&gt;"Polska","Tak","Nie")</f>
        <v>Nie</v>
      </c>
    </row>
    <row r="522" spans="1:18" x14ac:dyDescent="0.25">
      <c r="A522" t="s">
        <v>1946</v>
      </c>
      <c r="B522" t="s">
        <v>0</v>
      </c>
      <c r="C522">
        <v>28</v>
      </c>
      <c r="D522" t="s">
        <v>337</v>
      </c>
      <c r="F522">
        <v>34</v>
      </c>
      <c r="G522">
        <v>25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0</v>
      </c>
      <c r="O522" s="2" t="s">
        <v>2303</v>
      </c>
      <c r="P522" s="4">
        <v>2250</v>
      </c>
      <c r="Q522" t="s">
        <v>345</v>
      </c>
      <c r="R522" t="str">
        <f>IF(Table3[[#This Row],[Narodowość]]&lt;&gt;"Polska","Tak","Nie")</f>
        <v>Nie</v>
      </c>
    </row>
    <row r="523" spans="1:18" x14ac:dyDescent="0.25">
      <c r="A523" t="s">
        <v>1552</v>
      </c>
      <c r="B523" t="s">
        <v>359</v>
      </c>
      <c r="C523">
        <v>22</v>
      </c>
      <c r="D523" t="s">
        <v>337</v>
      </c>
      <c r="F523">
        <v>2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 s="2" t="s">
        <v>2301</v>
      </c>
      <c r="P523" s="4">
        <v>46</v>
      </c>
      <c r="Q523" t="s">
        <v>23</v>
      </c>
      <c r="R523" t="str">
        <f>IF(Table3[[#This Row],[Narodowość]]&lt;&gt;"Polska","Tak","Nie")</f>
        <v>Nie</v>
      </c>
    </row>
    <row r="524" spans="1:18" x14ac:dyDescent="0.25">
      <c r="A524" t="s">
        <v>1134</v>
      </c>
      <c r="B524" t="s">
        <v>11</v>
      </c>
      <c r="C524">
        <v>21</v>
      </c>
      <c r="D524" t="s">
        <v>337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 s="2">
        <v>0</v>
      </c>
      <c r="P524" s="4">
        <v>0</v>
      </c>
      <c r="Q524" t="s">
        <v>344</v>
      </c>
      <c r="R524" t="str">
        <f>IF(Table3[[#This Row],[Narodowość]]&lt;&gt;"Polska","Tak","Nie")</f>
        <v>Nie</v>
      </c>
    </row>
    <row r="525" spans="1:18" x14ac:dyDescent="0.25">
      <c r="A525" t="s">
        <v>437</v>
      </c>
      <c r="B525" t="s">
        <v>325</v>
      </c>
      <c r="C525">
        <v>28</v>
      </c>
      <c r="D525" t="s">
        <v>337</v>
      </c>
      <c r="F525">
        <v>5</v>
      </c>
      <c r="G525">
        <v>4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3</v>
      </c>
      <c r="O525" s="2" t="s">
        <v>2283</v>
      </c>
      <c r="P525" s="4">
        <v>196</v>
      </c>
      <c r="Q525" t="s">
        <v>344</v>
      </c>
      <c r="R525" t="str">
        <f>IF(Table3[[#This Row],[Narodowość]]&lt;&gt;"Polska","Tak","Nie")</f>
        <v>Nie</v>
      </c>
    </row>
    <row r="526" spans="1:18" x14ac:dyDescent="0.25">
      <c r="A526" t="s">
        <v>437</v>
      </c>
      <c r="B526" t="s">
        <v>325</v>
      </c>
      <c r="C526">
        <v>28</v>
      </c>
      <c r="D526" t="s">
        <v>337</v>
      </c>
      <c r="F526">
        <v>15</v>
      </c>
      <c r="G526">
        <v>13</v>
      </c>
      <c r="H526">
        <v>1</v>
      </c>
      <c r="I526">
        <v>2</v>
      </c>
      <c r="J526">
        <v>1</v>
      </c>
      <c r="K526">
        <v>0</v>
      </c>
      <c r="L526">
        <v>0</v>
      </c>
      <c r="M526">
        <v>8</v>
      </c>
      <c r="N526">
        <v>4</v>
      </c>
      <c r="O526" s="2" t="s">
        <v>2301</v>
      </c>
      <c r="P526" s="4">
        <v>563</v>
      </c>
      <c r="Q526" t="s">
        <v>361</v>
      </c>
      <c r="R526" t="str">
        <f>IF(Table3[[#This Row],[Narodowość]]&lt;&gt;"Polska","Tak","Nie")</f>
        <v>Nie</v>
      </c>
    </row>
    <row r="527" spans="1:18" x14ac:dyDescent="0.25">
      <c r="A527" t="s">
        <v>92</v>
      </c>
      <c r="B527" t="s">
        <v>0</v>
      </c>
      <c r="C527">
        <v>27</v>
      </c>
      <c r="D527" t="s">
        <v>365</v>
      </c>
      <c r="F527">
        <v>25</v>
      </c>
      <c r="G527">
        <v>16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2</v>
      </c>
      <c r="O527" s="2" t="s">
        <v>2315</v>
      </c>
      <c r="P527" s="4">
        <v>1340</v>
      </c>
      <c r="Q527" t="s">
        <v>334</v>
      </c>
      <c r="R527" t="str">
        <f>IF(Table3[[#This Row],[Narodowość]]&lt;&gt;"Polska","Tak","Nie")</f>
        <v>Tak</v>
      </c>
    </row>
    <row r="528" spans="1:18" x14ac:dyDescent="0.25">
      <c r="A528" t="s">
        <v>404</v>
      </c>
      <c r="B528" t="s">
        <v>324</v>
      </c>
      <c r="C528">
        <v>22</v>
      </c>
      <c r="D528" t="s">
        <v>336</v>
      </c>
      <c r="F528">
        <v>2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 s="2" t="s">
        <v>2296</v>
      </c>
      <c r="P528" s="4">
        <v>2</v>
      </c>
      <c r="Q528" t="s">
        <v>332</v>
      </c>
      <c r="R528" t="str">
        <f>IF(Table3[[#This Row],[Narodowość]]&lt;&gt;"Polska","Tak","Nie")</f>
        <v>Tak</v>
      </c>
    </row>
    <row r="529" spans="1:18" x14ac:dyDescent="0.25">
      <c r="A529" t="s">
        <v>404</v>
      </c>
      <c r="B529" t="s">
        <v>324</v>
      </c>
      <c r="C529">
        <v>22</v>
      </c>
      <c r="D529" t="s">
        <v>336</v>
      </c>
      <c r="F529">
        <v>14</v>
      </c>
      <c r="G529">
        <v>14</v>
      </c>
      <c r="H529">
        <v>3</v>
      </c>
      <c r="I529">
        <v>1</v>
      </c>
      <c r="J529">
        <v>1</v>
      </c>
      <c r="K529">
        <v>0</v>
      </c>
      <c r="L529">
        <v>0</v>
      </c>
      <c r="M529">
        <v>1</v>
      </c>
      <c r="N529">
        <v>12</v>
      </c>
      <c r="O529" s="2" t="s">
        <v>2288</v>
      </c>
      <c r="P529" s="4">
        <v>966</v>
      </c>
      <c r="Q529" t="s">
        <v>349</v>
      </c>
      <c r="R529" t="str">
        <f>IF(Table3[[#This Row],[Narodowość]]&lt;&gt;"Polska","Tak","Nie")</f>
        <v>Tak</v>
      </c>
    </row>
    <row r="530" spans="1:18" x14ac:dyDescent="0.25">
      <c r="A530" t="s">
        <v>1137</v>
      </c>
      <c r="B530" t="s">
        <v>382</v>
      </c>
      <c r="C530">
        <v>24</v>
      </c>
      <c r="D530" t="s">
        <v>333</v>
      </c>
      <c r="F530">
        <v>17</v>
      </c>
      <c r="G530">
        <v>3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1</v>
      </c>
      <c r="N530">
        <v>0</v>
      </c>
      <c r="O530" s="2" t="s">
        <v>2284</v>
      </c>
      <c r="P530" s="4">
        <v>184</v>
      </c>
      <c r="Q530" t="s">
        <v>344</v>
      </c>
      <c r="R530" t="str">
        <f>IF(Table3[[#This Row],[Narodowość]]&lt;&gt;"Polska","Tak","Nie")</f>
        <v>Tak</v>
      </c>
    </row>
    <row r="531" spans="1:18" x14ac:dyDescent="0.25">
      <c r="A531" t="s">
        <v>104</v>
      </c>
      <c r="B531" t="s">
        <v>325</v>
      </c>
      <c r="C531">
        <v>28</v>
      </c>
      <c r="D531" t="s">
        <v>335</v>
      </c>
      <c r="F531">
        <v>31</v>
      </c>
      <c r="G531">
        <v>31</v>
      </c>
      <c r="H531">
        <v>18</v>
      </c>
      <c r="I531">
        <v>6</v>
      </c>
      <c r="J531">
        <v>5</v>
      </c>
      <c r="K531">
        <v>0</v>
      </c>
      <c r="L531">
        <v>0</v>
      </c>
      <c r="M531">
        <v>0</v>
      </c>
      <c r="N531">
        <v>13</v>
      </c>
      <c r="O531" s="2" t="s">
        <v>2326</v>
      </c>
      <c r="P531" s="4">
        <v>2656</v>
      </c>
      <c r="Q531" t="s">
        <v>334</v>
      </c>
      <c r="R531" t="str">
        <f>IF(Table3[[#This Row],[Narodowość]]&lt;&gt;"Polska","Tak","Nie")</f>
        <v>Tak</v>
      </c>
    </row>
    <row r="532" spans="1:18" x14ac:dyDescent="0.25">
      <c r="A532" t="s">
        <v>2123</v>
      </c>
      <c r="B532" t="s">
        <v>0</v>
      </c>
      <c r="C532">
        <v>19</v>
      </c>
      <c r="D532" t="s">
        <v>337</v>
      </c>
      <c r="F532">
        <v>34</v>
      </c>
      <c r="G532">
        <v>19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 s="2" t="s">
        <v>2439</v>
      </c>
      <c r="P532" s="4">
        <v>1710</v>
      </c>
      <c r="Q532" t="s">
        <v>383</v>
      </c>
      <c r="R532" t="str">
        <f>IF(Table3[[#This Row],[Narodowość]]&lt;&gt;"Polska","Tak","Nie")</f>
        <v>Nie</v>
      </c>
    </row>
    <row r="533" spans="1:18" x14ac:dyDescent="0.25">
      <c r="A533" t="s">
        <v>1585</v>
      </c>
      <c r="B533" t="s">
        <v>331</v>
      </c>
      <c r="C533">
        <v>19</v>
      </c>
      <c r="D533" t="s">
        <v>337</v>
      </c>
      <c r="F533">
        <v>7</v>
      </c>
      <c r="G533">
        <v>1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 s="2" t="s">
        <v>2291</v>
      </c>
      <c r="P533" s="4">
        <v>7</v>
      </c>
      <c r="Q533" t="s">
        <v>349</v>
      </c>
      <c r="R533" t="str">
        <f>IF(Table3[[#This Row],[Narodowość]]&lt;&gt;"Polska","Tak","Nie")</f>
        <v>Nie</v>
      </c>
    </row>
    <row r="534" spans="1:18" x14ac:dyDescent="0.25">
      <c r="A534" t="s">
        <v>1586</v>
      </c>
      <c r="B534" t="s">
        <v>330</v>
      </c>
      <c r="C534">
        <v>16</v>
      </c>
      <c r="D534" t="s">
        <v>337</v>
      </c>
      <c r="F534">
        <v>4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 s="2">
        <v>0</v>
      </c>
      <c r="P534" s="4">
        <v>0</v>
      </c>
      <c r="Q534" t="s">
        <v>349</v>
      </c>
      <c r="R534" t="str">
        <f>IF(Table3[[#This Row],[Narodowość]]&lt;&gt;"Polska","Tak","Nie")</f>
        <v>Nie</v>
      </c>
    </row>
    <row r="535" spans="1:18" x14ac:dyDescent="0.25">
      <c r="A535" t="s">
        <v>248</v>
      </c>
      <c r="B535" t="s">
        <v>324</v>
      </c>
      <c r="C535">
        <v>22</v>
      </c>
      <c r="D535" t="s">
        <v>368</v>
      </c>
      <c r="F535">
        <v>26</v>
      </c>
      <c r="G535">
        <v>21</v>
      </c>
      <c r="H535">
        <v>2</v>
      </c>
      <c r="I535">
        <v>2</v>
      </c>
      <c r="J535">
        <v>0</v>
      </c>
      <c r="K535">
        <v>0</v>
      </c>
      <c r="L535">
        <v>0</v>
      </c>
      <c r="M535">
        <v>7</v>
      </c>
      <c r="N535">
        <v>14</v>
      </c>
      <c r="O535" s="2" t="s">
        <v>2411</v>
      </c>
      <c r="P535" s="4">
        <v>1023</v>
      </c>
      <c r="Q535" t="s">
        <v>349</v>
      </c>
      <c r="R535" t="str">
        <f>IF(Table3[[#This Row],[Narodowość]]&lt;&gt;"Polska","Tak","Nie")</f>
        <v>Tak</v>
      </c>
    </row>
    <row r="536" spans="1:18" x14ac:dyDescent="0.25">
      <c r="A536" t="s">
        <v>1240</v>
      </c>
      <c r="B536" t="s">
        <v>382</v>
      </c>
      <c r="C536">
        <v>21</v>
      </c>
      <c r="D536" t="s">
        <v>388</v>
      </c>
      <c r="F536">
        <v>7</v>
      </c>
      <c r="G536">
        <v>1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 s="2" t="s">
        <v>2291</v>
      </c>
      <c r="P536" s="4">
        <v>90</v>
      </c>
      <c r="Q536" t="s">
        <v>339</v>
      </c>
      <c r="R536" t="str">
        <f>IF(Table3[[#This Row],[Narodowość]]&lt;&gt;"Polska","Tak","Nie")</f>
        <v>Tak</v>
      </c>
    </row>
    <row r="537" spans="1:18" x14ac:dyDescent="0.25">
      <c r="A537" t="s">
        <v>432</v>
      </c>
      <c r="B537" t="s">
        <v>382</v>
      </c>
      <c r="C537">
        <v>29</v>
      </c>
      <c r="D537" t="s">
        <v>388</v>
      </c>
      <c r="F537">
        <v>22</v>
      </c>
      <c r="G537">
        <v>18</v>
      </c>
      <c r="H537">
        <v>1</v>
      </c>
      <c r="I537">
        <v>2</v>
      </c>
      <c r="J537">
        <v>1</v>
      </c>
      <c r="K537">
        <v>0</v>
      </c>
      <c r="L537">
        <v>0</v>
      </c>
      <c r="M537">
        <v>5</v>
      </c>
      <c r="N537">
        <v>5</v>
      </c>
      <c r="O537" s="2" t="s">
        <v>2317</v>
      </c>
      <c r="P537" s="4">
        <v>1069</v>
      </c>
      <c r="Q537" t="s">
        <v>332</v>
      </c>
      <c r="R537" t="str">
        <f>IF(Table3[[#This Row],[Narodowość]]&lt;&gt;"Polska","Tak","Nie")</f>
        <v>Tak</v>
      </c>
    </row>
    <row r="538" spans="1:18" x14ac:dyDescent="0.25">
      <c r="A538" t="s">
        <v>475</v>
      </c>
      <c r="B538" t="s">
        <v>326</v>
      </c>
      <c r="C538">
        <v>24</v>
      </c>
      <c r="D538" t="s">
        <v>337</v>
      </c>
      <c r="F538">
        <v>10</v>
      </c>
      <c r="G538">
        <v>10</v>
      </c>
      <c r="H538">
        <v>0</v>
      </c>
      <c r="I538">
        <v>2</v>
      </c>
      <c r="J538">
        <v>0</v>
      </c>
      <c r="K538">
        <v>0</v>
      </c>
      <c r="L538">
        <v>0</v>
      </c>
      <c r="M538">
        <v>3</v>
      </c>
      <c r="N538">
        <v>6</v>
      </c>
      <c r="O538" s="2" t="s">
        <v>2392</v>
      </c>
      <c r="P538" s="4">
        <v>566</v>
      </c>
      <c r="Q538" t="s">
        <v>315</v>
      </c>
      <c r="R538" t="str">
        <f>IF(Table3[[#This Row],[Narodowość]]&lt;&gt;"Polska","Tak","Nie")</f>
        <v>Nie</v>
      </c>
    </row>
    <row r="539" spans="1:18" x14ac:dyDescent="0.25">
      <c r="A539" t="s">
        <v>459</v>
      </c>
      <c r="B539" t="s">
        <v>382</v>
      </c>
      <c r="C539">
        <v>17</v>
      </c>
      <c r="D539" t="s">
        <v>337</v>
      </c>
      <c r="F539">
        <v>15</v>
      </c>
      <c r="G539">
        <v>13</v>
      </c>
      <c r="H539">
        <v>1</v>
      </c>
      <c r="I539">
        <v>1</v>
      </c>
      <c r="J539">
        <v>3</v>
      </c>
      <c r="K539">
        <v>0</v>
      </c>
      <c r="L539">
        <v>0</v>
      </c>
      <c r="M539">
        <v>2</v>
      </c>
      <c r="N539">
        <v>3</v>
      </c>
      <c r="O539" s="2" t="s">
        <v>2402</v>
      </c>
      <c r="P539" s="4">
        <v>903</v>
      </c>
      <c r="Q539" t="s">
        <v>361</v>
      </c>
      <c r="R539" t="str">
        <f>IF(Table3[[#This Row],[Narodowość]]&lt;&gt;"Polska","Tak","Nie")</f>
        <v>Nie</v>
      </c>
    </row>
    <row r="540" spans="1:18" x14ac:dyDescent="0.25">
      <c r="A540" t="s">
        <v>744</v>
      </c>
      <c r="B540" t="s">
        <v>0</v>
      </c>
      <c r="C540">
        <v>22</v>
      </c>
      <c r="D540" t="s">
        <v>337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 s="2">
        <v>0</v>
      </c>
      <c r="P540" s="4">
        <v>0</v>
      </c>
      <c r="Q540" t="s">
        <v>334</v>
      </c>
      <c r="R540" t="str">
        <f>IF(Table3[[#This Row],[Narodowość]]&lt;&gt;"Polska","Tak","Nie")</f>
        <v>Nie</v>
      </c>
    </row>
    <row r="541" spans="1:18" x14ac:dyDescent="0.25">
      <c r="A541" t="s">
        <v>1690</v>
      </c>
      <c r="B541" t="s">
        <v>382</v>
      </c>
      <c r="C541">
        <v>16</v>
      </c>
      <c r="D541" t="s">
        <v>337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 s="2">
        <v>0</v>
      </c>
      <c r="P541" s="4">
        <v>0</v>
      </c>
      <c r="Q541" t="s">
        <v>361</v>
      </c>
      <c r="R541" t="str">
        <f>IF(Table3[[#This Row],[Narodowość]]&lt;&gt;"Polska","Tak","Nie")</f>
        <v>Nie</v>
      </c>
    </row>
    <row r="542" spans="1:18" x14ac:dyDescent="0.25">
      <c r="A542" t="s">
        <v>423</v>
      </c>
      <c r="B542" t="s">
        <v>324</v>
      </c>
      <c r="C542">
        <v>23</v>
      </c>
      <c r="D542" t="s">
        <v>337</v>
      </c>
      <c r="F542">
        <v>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 s="2" t="s">
        <v>2301</v>
      </c>
      <c r="P542" s="4">
        <v>5</v>
      </c>
      <c r="Q542" t="s">
        <v>338</v>
      </c>
      <c r="R542" t="str">
        <f>IF(Table3[[#This Row],[Narodowość]]&lt;&gt;"Polska","Tak","Nie")</f>
        <v>Nie</v>
      </c>
    </row>
    <row r="543" spans="1:18" x14ac:dyDescent="0.25">
      <c r="A543" t="s">
        <v>423</v>
      </c>
      <c r="B543" t="s">
        <v>324</v>
      </c>
      <c r="C543">
        <v>23</v>
      </c>
      <c r="D543" t="s">
        <v>337</v>
      </c>
      <c r="F543">
        <v>14</v>
      </c>
      <c r="G543">
        <v>13</v>
      </c>
      <c r="H543">
        <v>2</v>
      </c>
      <c r="I543">
        <v>1</v>
      </c>
      <c r="J543">
        <v>0</v>
      </c>
      <c r="K543">
        <v>0</v>
      </c>
      <c r="L543">
        <v>0</v>
      </c>
      <c r="M543">
        <v>7</v>
      </c>
      <c r="N543">
        <v>6</v>
      </c>
      <c r="O543" s="2" t="s">
        <v>2410</v>
      </c>
      <c r="P543" s="4">
        <v>593</v>
      </c>
      <c r="Q543" t="s">
        <v>349</v>
      </c>
      <c r="R543" t="str">
        <f>IF(Table3[[#This Row],[Narodowość]]&lt;&gt;"Polska","Tak","Nie")</f>
        <v>Nie</v>
      </c>
    </row>
    <row r="544" spans="1:18" x14ac:dyDescent="0.25">
      <c r="A544" t="s">
        <v>1296</v>
      </c>
      <c r="B544" t="s">
        <v>331</v>
      </c>
      <c r="C544">
        <v>15</v>
      </c>
      <c r="D544" t="s">
        <v>337</v>
      </c>
      <c r="F544">
        <v>1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 s="2">
        <v>0</v>
      </c>
      <c r="P544" s="4">
        <v>0</v>
      </c>
      <c r="Q544" t="s">
        <v>315</v>
      </c>
      <c r="R544" t="str">
        <f>IF(Table3[[#This Row],[Narodowość]]&lt;&gt;"Polska","Tak","Nie")</f>
        <v>Nie</v>
      </c>
    </row>
    <row r="545" spans="1:18" x14ac:dyDescent="0.25">
      <c r="A545" t="s">
        <v>2188</v>
      </c>
      <c r="B545" t="s">
        <v>328</v>
      </c>
      <c r="C545">
        <v>18</v>
      </c>
      <c r="D545" t="s">
        <v>553</v>
      </c>
      <c r="E545" t="s">
        <v>480</v>
      </c>
      <c r="F545">
        <v>8</v>
      </c>
      <c r="G545">
        <v>8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4</v>
      </c>
      <c r="N545">
        <v>3</v>
      </c>
      <c r="O545" s="2" t="s">
        <v>2405</v>
      </c>
      <c r="P545" s="4">
        <v>409</v>
      </c>
      <c r="Q545" t="s">
        <v>383</v>
      </c>
      <c r="R545" t="str">
        <f>IF(Table3[[#This Row],[Narodowość]]&lt;&gt;"Polska","Tak","Nie")</f>
        <v>Tak</v>
      </c>
    </row>
    <row r="546" spans="1:18" x14ac:dyDescent="0.25">
      <c r="A546" t="s">
        <v>307</v>
      </c>
      <c r="B546" t="s">
        <v>324</v>
      </c>
      <c r="C546">
        <v>30</v>
      </c>
      <c r="D546" t="s">
        <v>346</v>
      </c>
      <c r="F546">
        <v>33</v>
      </c>
      <c r="G546">
        <v>33</v>
      </c>
      <c r="H546">
        <v>11</v>
      </c>
      <c r="I546">
        <v>2</v>
      </c>
      <c r="J546">
        <v>3</v>
      </c>
      <c r="K546">
        <v>0</v>
      </c>
      <c r="L546">
        <v>0</v>
      </c>
      <c r="M546">
        <v>7</v>
      </c>
      <c r="N546">
        <v>20</v>
      </c>
      <c r="O546" s="2" t="s">
        <v>2376</v>
      </c>
      <c r="P546" s="4">
        <v>2193</v>
      </c>
      <c r="Q546" t="s">
        <v>316</v>
      </c>
      <c r="R546" t="str">
        <f>IF(Table3[[#This Row],[Narodowość]]&lt;&gt;"Polska","Tak","Nie")</f>
        <v>Tak</v>
      </c>
    </row>
    <row r="547" spans="1:18" x14ac:dyDescent="0.25">
      <c r="A547" t="s">
        <v>528</v>
      </c>
      <c r="B547" t="s">
        <v>352</v>
      </c>
      <c r="C547">
        <v>22</v>
      </c>
      <c r="D547" t="s">
        <v>430</v>
      </c>
      <c r="F547">
        <v>11</v>
      </c>
      <c r="G547">
        <v>4</v>
      </c>
      <c r="H547">
        <v>0</v>
      </c>
      <c r="I547">
        <v>1</v>
      </c>
      <c r="J547">
        <v>0</v>
      </c>
      <c r="K547">
        <v>0</v>
      </c>
      <c r="L547">
        <v>0</v>
      </c>
      <c r="M547">
        <v>3</v>
      </c>
      <c r="N547">
        <v>1</v>
      </c>
      <c r="O547" s="2" t="s">
        <v>2314</v>
      </c>
      <c r="P547" s="4">
        <v>93</v>
      </c>
      <c r="Q547" t="s">
        <v>338</v>
      </c>
      <c r="R547" t="str">
        <f>IF(Table3[[#This Row],[Narodowość]]&lt;&gt;"Polska","Tak","Nie")</f>
        <v>Tak</v>
      </c>
    </row>
    <row r="548" spans="1:18" x14ac:dyDescent="0.25">
      <c r="A548" t="s">
        <v>1742</v>
      </c>
      <c r="B548" t="s">
        <v>328</v>
      </c>
      <c r="C548">
        <v>20</v>
      </c>
      <c r="D548" t="s">
        <v>408</v>
      </c>
      <c r="F548">
        <v>7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3</v>
      </c>
      <c r="N548">
        <v>0</v>
      </c>
      <c r="O548" s="2" t="s">
        <v>2368</v>
      </c>
      <c r="P548" s="4">
        <v>67</v>
      </c>
      <c r="Q548" t="s">
        <v>361</v>
      </c>
      <c r="R548" t="str">
        <f>IF(Table3[[#This Row],[Narodowość]]&lt;&gt;"Polska","Tak","Nie")</f>
        <v>Tak</v>
      </c>
    </row>
    <row r="549" spans="1:18" x14ac:dyDescent="0.25">
      <c r="A549" t="s">
        <v>8</v>
      </c>
      <c r="B549" t="s">
        <v>382</v>
      </c>
      <c r="C549">
        <v>24</v>
      </c>
      <c r="D549" t="s">
        <v>388</v>
      </c>
      <c r="F549">
        <v>27</v>
      </c>
      <c r="G549">
        <v>26</v>
      </c>
      <c r="H549">
        <v>1</v>
      </c>
      <c r="I549">
        <v>1</v>
      </c>
      <c r="J549">
        <v>4</v>
      </c>
      <c r="K549">
        <v>0</v>
      </c>
      <c r="L549">
        <v>1</v>
      </c>
      <c r="M549">
        <v>2</v>
      </c>
      <c r="N549">
        <v>1</v>
      </c>
      <c r="O549" s="2" t="s">
        <v>2303</v>
      </c>
      <c r="P549" s="4">
        <v>2064</v>
      </c>
      <c r="Q549" t="s">
        <v>316</v>
      </c>
      <c r="R549" t="str">
        <f>IF(Table3[[#This Row],[Narodowość]]&lt;&gt;"Polska","Tak","Nie")</f>
        <v>Tak</v>
      </c>
    </row>
    <row r="550" spans="1:18" x14ac:dyDescent="0.25">
      <c r="A550" t="s">
        <v>1584</v>
      </c>
      <c r="B550" t="s">
        <v>331</v>
      </c>
      <c r="C550">
        <v>23</v>
      </c>
      <c r="D550" t="s">
        <v>436</v>
      </c>
      <c r="F550">
        <v>14</v>
      </c>
      <c r="G550">
        <v>12</v>
      </c>
      <c r="H550">
        <v>0</v>
      </c>
      <c r="I550">
        <v>0</v>
      </c>
      <c r="J550">
        <v>2</v>
      </c>
      <c r="K550">
        <v>0</v>
      </c>
      <c r="L550">
        <v>0</v>
      </c>
      <c r="M550">
        <v>7</v>
      </c>
      <c r="N550">
        <v>4</v>
      </c>
      <c r="O550" s="2" t="s">
        <v>2349</v>
      </c>
      <c r="P550" s="4">
        <v>509</v>
      </c>
      <c r="Q550" t="s">
        <v>349</v>
      </c>
      <c r="R550" t="str">
        <f>IF(Table3[[#This Row],[Narodowość]]&lt;&gt;"Polska","Tak","Nie")</f>
        <v>Tak</v>
      </c>
    </row>
    <row r="551" spans="1:18" x14ac:dyDescent="0.25">
      <c r="A551" t="s">
        <v>427</v>
      </c>
      <c r="B551" t="s">
        <v>331</v>
      </c>
      <c r="C551">
        <v>29</v>
      </c>
      <c r="D551" t="s">
        <v>391</v>
      </c>
      <c r="F551">
        <v>32</v>
      </c>
      <c r="G551">
        <v>29</v>
      </c>
      <c r="H551">
        <v>2</v>
      </c>
      <c r="I551">
        <v>1</v>
      </c>
      <c r="J551">
        <v>3</v>
      </c>
      <c r="K551">
        <v>1</v>
      </c>
      <c r="L551">
        <v>0</v>
      </c>
      <c r="M551">
        <v>18</v>
      </c>
      <c r="N551">
        <v>5</v>
      </c>
      <c r="O551" s="2" t="s">
        <v>2327</v>
      </c>
      <c r="P551" s="4">
        <v>1189</v>
      </c>
      <c r="Q551" t="s">
        <v>334</v>
      </c>
      <c r="R551" t="str">
        <f>IF(Table3[[#This Row],[Narodowość]]&lt;&gt;"Polska","Tak","Nie")</f>
        <v>Tak</v>
      </c>
    </row>
    <row r="552" spans="1:18" x14ac:dyDescent="0.25">
      <c r="A552" t="s">
        <v>1583</v>
      </c>
      <c r="B552" t="s">
        <v>357</v>
      </c>
      <c r="C552">
        <v>23</v>
      </c>
      <c r="D552" t="s">
        <v>337</v>
      </c>
      <c r="F552">
        <v>10</v>
      </c>
      <c r="G552">
        <v>3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3</v>
      </c>
      <c r="N552">
        <v>0</v>
      </c>
      <c r="O552" s="2" t="s">
        <v>2334</v>
      </c>
      <c r="P552" s="4">
        <v>3</v>
      </c>
      <c r="Q552" t="s">
        <v>349</v>
      </c>
      <c r="R552" t="str">
        <f>IF(Table3[[#This Row],[Narodowość]]&lt;&gt;"Polska","Tak","Nie")</f>
        <v>Nie</v>
      </c>
    </row>
    <row r="553" spans="1:18" x14ac:dyDescent="0.25">
      <c r="A553" t="s">
        <v>1439</v>
      </c>
      <c r="B553" t="s">
        <v>324</v>
      </c>
      <c r="C553">
        <v>16</v>
      </c>
      <c r="D553" t="s">
        <v>337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 s="2">
        <v>0</v>
      </c>
      <c r="P553" s="4">
        <v>0</v>
      </c>
      <c r="Q553" t="s">
        <v>317</v>
      </c>
      <c r="R553" t="str">
        <f>IF(Table3[[#This Row],[Narodowość]]&lt;&gt;"Polska","Tak","Nie")</f>
        <v>Nie</v>
      </c>
    </row>
    <row r="554" spans="1:18" x14ac:dyDescent="0.25">
      <c r="A554" t="s">
        <v>482</v>
      </c>
      <c r="B554" t="s">
        <v>330</v>
      </c>
      <c r="C554">
        <v>24</v>
      </c>
      <c r="D554" t="s">
        <v>388</v>
      </c>
      <c r="F554">
        <v>24</v>
      </c>
      <c r="G554">
        <v>17</v>
      </c>
      <c r="H554">
        <v>1</v>
      </c>
      <c r="I554">
        <v>0</v>
      </c>
      <c r="J554">
        <v>1</v>
      </c>
      <c r="K554">
        <v>0</v>
      </c>
      <c r="L554">
        <v>0</v>
      </c>
      <c r="M554">
        <v>13</v>
      </c>
      <c r="N554">
        <v>4</v>
      </c>
      <c r="O554" s="2" t="s">
        <v>2388</v>
      </c>
      <c r="P554" s="4">
        <v>379</v>
      </c>
      <c r="Q554" t="s">
        <v>383</v>
      </c>
      <c r="R554" t="str">
        <f>IF(Table3[[#This Row],[Narodowość]]&lt;&gt;"Polska","Tak","Nie")</f>
        <v>Tak</v>
      </c>
    </row>
    <row r="555" spans="1:18" x14ac:dyDescent="0.25">
      <c r="A555" t="s">
        <v>506</v>
      </c>
      <c r="B555" t="s">
        <v>325</v>
      </c>
      <c r="C555">
        <v>28</v>
      </c>
      <c r="D555" t="s">
        <v>388</v>
      </c>
      <c r="F555">
        <v>13</v>
      </c>
      <c r="G555">
        <v>8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</v>
      </c>
      <c r="N555">
        <v>1</v>
      </c>
      <c r="O555" s="2" t="s">
        <v>2376</v>
      </c>
      <c r="P555" s="4">
        <v>133</v>
      </c>
      <c r="Q555" t="s">
        <v>344</v>
      </c>
      <c r="R555" t="str">
        <f>IF(Table3[[#This Row],[Narodowość]]&lt;&gt;"Polska","Tak","Nie")</f>
        <v>Tak</v>
      </c>
    </row>
    <row r="556" spans="1:18" x14ac:dyDescent="0.25">
      <c r="A556" t="s">
        <v>824</v>
      </c>
      <c r="B556" t="s">
        <v>325</v>
      </c>
      <c r="C556">
        <v>17</v>
      </c>
      <c r="D556" t="s">
        <v>337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 s="2">
        <v>0</v>
      </c>
      <c r="P556" s="4">
        <v>0</v>
      </c>
      <c r="Q556" t="s">
        <v>334</v>
      </c>
      <c r="R556" t="str">
        <f>IF(Table3[[#This Row],[Narodowość]]&lt;&gt;"Polska","Tak","Nie")</f>
        <v>Nie</v>
      </c>
    </row>
    <row r="557" spans="1:18" x14ac:dyDescent="0.25">
      <c r="A557" t="s">
        <v>69</v>
      </c>
      <c r="B557" t="s">
        <v>352</v>
      </c>
      <c r="C557">
        <v>19</v>
      </c>
      <c r="D557" t="s">
        <v>337</v>
      </c>
      <c r="F557">
        <v>11</v>
      </c>
      <c r="G557">
        <v>8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8</v>
      </c>
      <c r="N557">
        <v>0</v>
      </c>
      <c r="O557" s="2" t="s">
        <v>2301</v>
      </c>
      <c r="P557" s="4">
        <v>144</v>
      </c>
      <c r="Q557" t="s">
        <v>317</v>
      </c>
      <c r="R557" t="str">
        <f>IF(Table3[[#This Row],[Narodowość]]&lt;&gt;"Polska","Tak","Nie")</f>
        <v>Nie</v>
      </c>
    </row>
    <row r="558" spans="1:18" x14ac:dyDescent="0.25">
      <c r="A558" t="s">
        <v>1971</v>
      </c>
      <c r="B558" t="s">
        <v>382</v>
      </c>
      <c r="C558">
        <v>20</v>
      </c>
      <c r="D558" t="s">
        <v>337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 s="2">
        <v>0</v>
      </c>
      <c r="P558" s="4">
        <v>0</v>
      </c>
      <c r="Q558" t="s">
        <v>345</v>
      </c>
      <c r="R558" t="str">
        <f>IF(Table3[[#This Row],[Narodowość]]&lt;&gt;"Polska","Tak","Nie")</f>
        <v>Nie</v>
      </c>
    </row>
    <row r="559" spans="1:18" x14ac:dyDescent="0.25">
      <c r="A559" t="s">
        <v>1534</v>
      </c>
      <c r="B559" t="s">
        <v>376</v>
      </c>
      <c r="C559">
        <v>16</v>
      </c>
      <c r="D559" t="s">
        <v>337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 s="2">
        <v>0</v>
      </c>
      <c r="P559" s="4">
        <v>0</v>
      </c>
      <c r="Q559" t="s">
        <v>23</v>
      </c>
      <c r="R559" t="str">
        <f>IF(Table3[[#This Row],[Narodowość]]&lt;&gt;"Polska","Tak","Nie")</f>
        <v>Nie</v>
      </c>
    </row>
    <row r="560" spans="1:18" x14ac:dyDescent="0.25">
      <c r="A560" t="s">
        <v>1863</v>
      </c>
      <c r="B560" t="s">
        <v>325</v>
      </c>
      <c r="C560">
        <v>16</v>
      </c>
      <c r="D560" t="s">
        <v>337</v>
      </c>
      <c r="F560">
        <v>5</v>
      </c>
      <c r="G560">
        <v>3</v>
      </c>
      <c r="H560">
        <v>0</v>
      </c>
      <c r="I560">
        <v>0</v>
      </c>
      <c r="J560">
        <v>2</v>
      </c>
      <c r="K560">
        <v>0</v>
      </c>
      <c r="L560">
        <v>0</v>
      </c>
      <c r="M560">
        <v>3</v>
      </c>
      <c r="N560">
        <v>0</v>
      </c>
      <c r="O560" s="2" t="s">
        <v>2368</v>
      </c>
      <c r="P560" s="4">
        <v>46</v>
      </c>
      <c r="Q560" t="s">
        <v>340</v>
      </c>
      <c r="R560" t="str">
        <f>IF(Table3[[#This Row],[Narodowość]]&lt;&gt;"Polska","Tak","Nie")</f>
        <v>Nie</v>
      </c>
    </row>
    <row r="561" spans="1:18" x14ac:dyDescent="0.25">
      <c r="A561" t="s">
        <v>86</v>
      </c>
      <c r="B561" t="s">
        <v>331</v>
      </c>
      <c r="C561">
        <v>16</v>
      </c>
      <c r="D561" t="s">
        <v>337</v>
      </c>
      <c r="F561">
        <v>16</v>
      </c>
      <c r="G561">
        <v>6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4</v>
      </c>
      <c r="N561">
        <v>2</v>
      </c>
      <c r="O561" s="2" t="s">
        <v>2349</v>
      </c>
      <c r="P561" s="4">
        <v>252</v>
      </c>
      <c r="Q561" t="s">
        <v>361</v>
      </c>
      <c r="R561" t="str">
        <f>IF(Table3[[#This Row],[Narodowość]]&lt;&gt;"Polska","Tak","Nie")</f>
        <v>Nie</v>
      </c>
    </row>
    <row r="562" spans="1:18" x14ac:dyDescent="0.25">
      <c r="A562" t="s">
        <v>116</v>
      </c>
      <c r="B562" t="s">
        <v>326</v>
      </c>
      <c r="C562">
        <v>23</v>
      </c>
      <c r="D562" t="s">
        <v>551</v>
      </c>
      <c r="E562" t="s">
        <v>365</v>
      </c>
      <c r="F562">
        <v>6</v>
      </c>
      <c r="G562">
        <v>1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 s="2" t="s">
        <v>2296</v>
      </c>
      <c r="P562" s="4">
        <v>15</v>
      </c>
      <c r="Q562" t="s">
        <v>338</v>
      </c>
      <c r="R562" t="str">
        <f>IF(Table3[[#This Row],[Narodowość]]&lt;&gt;"Polska","Tak","Nie")</f>
        <v>Tak</v>
      </c>
    </row>
    <row r="563" spans="1:18" x14ac:dyDescent="0.25">
      <c r="A563" t="s">
        <v>895</v>
      </c>
      <c r="B563" t="s">
        <v>382</v>
      </c>
      <c r="C563">
        <v>19</v>
      </c>
      <c r="D563" t="s">
        <v>337</v>
      </c>
      <c r="F563">
        <v>7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1</v>
      </c>
      <c r="O563" s="2" t="s">
        <v>2314</v>
      </c>
      <c r="P563" s="4">
        <v>153</v>
      </c>
      <c r="Q563" t="s">
        <v>332</v>
      </c>
      <c r="R563" t="str">
        <f>IF(Table3[[#This Row],[Narodowość]]&lt;&gt;"Polska","Tak","Nie")</f>
        <v>Nie</v>
      </c>
    </row>
    <row r="564" spans="1:18" x14ac:dyDescent="0.25">
      <c r="A564" t="s">
        <v>1144</v>
      </c>
      <c r="B564" t="s">
        <v>324</v>
      </c>
      <c r="C564">
        <v>16</v>
      </c>
      <c r="D564" t="s">
        <v>337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 s="2">
        <v>0</v>
      </c>
      <c r="P564" s="4">
        <v>0</v>
      </c>
      <c r="Q564" t="s">
        <v>344</v>
      </c>
      <c r="R564" t="str">
        <f>IF(Table3[[#This Row],[Narodowość]]&lt;&gt;"Polska","Tak","Nie")</f>
        <v>Nie</v>
      </c>
    </row>
    <row r="565" spans="1:18" x14ac:dyDescent="0.25">
      <c r="A565" t="s">
        <v>1478</v>
      </c>
      <c r="B565" t="s">
        <v>382</v>
      </c>
      <c r="C565">
        <v>17</v>
      </c>
      <c r="D565" t="s">
        <v>337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 s="2">
        <v>0</v>
      </c>
      <c r="P565" s="4">
        <v>0</v>
      </c>
      <c r="Q565" t="s">
        <v>23</v>
      </c>
      <c r="R565" t="str">
        <f>IF(Table3[[#This Row],[Narodowość]]&lt;&gt;"Polska","Tak","Nie")</f>
        <v>Nie</v>
      </c>
    </row>
    <row r="566" spans="1:18" x14ac:dyDescent="0.25">
      <c r="A566" t="s">
        <v>219</v>
      </c>
      <c r="B566" t="s">
        <v>325</v>
      </c>
      <c r="C566">
        <v>25</v>
      </c>
      <c r="D566" t="s">
        <v>337</v>
      </c>
      <c r="F566">
        <v>10</v>
      </c>
      <c r="G566">
        <v>10</v>
      </c>
      <c r="H566">
        <v>3</v>
      </c>
      <c r="I566">
        <v>0</v>
      </c>
      <c r="J566">
        <v>2</v>
      </c>
      <c r="K566">
        <v>0</v>
      </c>
      <c r="L566">
        <v>0</v>
      </c>
      <c r="M566">
        <v>3</v>
      </c>
      <c r="N566">
        <v>2</v>
      </c>
      <c r="O566" s="2" t="s">
        <v>2405</v>
      </c>
      <c r="P566" s="4">
        <v>674</v>
      </c>
      <c r="Q566" t="s">
        <v>319</v>
      </c>
      <c r="R566" t="str">
        <f>IF(Table3[[#This Row],[Narodowość]]&lt;&gt;"Polska","Tak","Nie")</f>
        <v>Nie</v>
      </c>
    </row>
    <row r="567" spans="1:18" x14ac:dyDescent="0.25">
      <c r="A567" t="s">
        <v>29</v>
      </c>
      <c r="B567" t="s">
        <v>352</v>
      </c>
      <c r="C567">
        <v>26</v>
      </c>
      <c r="D567" t="s">
        <v>391</v>
      </c>
      <c r="F567">
        <v>30</v>
      </c>
      <c r="G567">
        <v>19</v>
      </c>
      <c r="H567">
        <v>3</v>
      </c>
      <c r="I567">
        <v>2</v>
      </c>
      <c r="J567">
        <v>2</v>
      </c>
      <c r="K567">
        <v>0</v>
      </c>
      <c r="L567">
        <v>0</v>
      </c>
      <c r="M567">
        <v>7</v>
      </c>
      <c r="N567">
        <v>3</v>
      </c>
      <c r="O567" s="2" t="s">
        <v>2403</v>
      </c>
      <c r="P567" s="4">
        <v>1181</v>
      </c>
      <c r="Q567" t="s">
        <v>23</v>
      </c>
      <c r="R567" t="str">
        <f>IF(Table3[[#This Row],[Narodowość]]&lt;&gt;"Polska","Tak","Nie")</f>
        <v>Tak</v>
      </c>
    </row>
    <row r="568" spans="1:18" x14ac:dyDescent="0.25">
      <c r="A568" t="s">
        <v>232</v>
      </c>
      <c r="B568" t="s">
        <v>330</v>
      </c>
      <c r="C568">
        <v>27</v>
      </c>
      <c r="D568" t="s">
        <v>422</v>
      </c>
      <c r="F568">
        <v>13</v>
      </c>
      <c r="G568">
        <v>12</v>
      </c>
      <c r="H568">
        <v>0</v>
      </c>
      <c r="I568">
        <v>0</v>
      </c>
      <c r="J568">
        <v>2</v>
      </c>
      <c r="K568">
        <v>0</v>
      </c>
      <c r="L568">
        <v>0</v>
      </c>
      <c r="M568">
        <v>1</v>
      </c>
      <c r="N568">
        <v>10</v>
      </c>
      <c r="O568" s="2" t="s">
        <v>2430</v>
      </c>
      <c r="P568" s="4">
        <v>833</v>
      </c>
      <c r="Q568" t="s">
        <v>345</v>
      </c>
      <c r="R568" t="str">
        <f>IF(Table3[[#This Row],[Narodowość]]&lt;&gt;"Polska","Tak","Nie")</f>
        <v>Tak</v>
      </c>
    </row>
    <row r="569" spans="1:18" x14ac:dyDescent="0.25">
      <c r="A569" t="s">
        <v>491</v>
      </c>
      <c r="B569" t="s">
        <v>325</v>
      </c>
      <c r="C569">
        <v>23</v>
      </c>
      <c r="D569" t="s">
        <v>337</v>
      </c>
      <c r="F569">
        <v>9</v>
      </c>
      <c r="G569">
        <v>6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5</v>
      </c>
      <c r="N569">
        <v>1</v>
      </c>
      <c r="O569" s="2" t="s">
        <v>2405</v>
      </c>
      <c r="P569" s="4">
        <v>121</v>
      </c>
      <c r="Q569" t="s">
        <v>316</v>
      </c>
      <c r="R569" t="str">
        <f>IF(Table3[[#This Row],[Narodowość]]&lt;&gt;"Polska","Tak","Nie")</f>
        <v>Nie</v>
      </c>
    </row>
    <row r="570" spans="1:18" x14ac:dyDescent="0.25">
      <c r="A570" t="s">
        <v>75</v>
      </c>
      <c r="B570" t="s">
        <v>382</v>
      </c>
      <c r="C570">
        <v>20</v>
      </c>
      <c r="D570" t="s">
        <v>337</v>
      </c>
      <c r="F570">
        <v>4</v>
      </c>
      <c r="G570">
        <v>2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1</v>
      </c>
      <c r="O570" s="2" t="s">
        <v>2283</v>
      </c>
      <c r="P570" s="4">
        <v>177</v>
      </c>
      <c r="Q570" t="s">
        <v>361</v>
      </c>
      <c r="R570" t="str">
        <f>IF(Table3[[#This Row],[Narodowość]]&lt;&gt;"Polska","Tak","Nie")</f>
        <v>Nie</v>
      </c>
    </row>
    <row r="571" spans="1:18" x14ac:dyDescent="0.25">
      <c r="A571" t="s">
        <v>229</v>
      </c>
      <c r="B571" t="s">
        <v>352</v>
      </c>
      <c r="C571">
        <v>23</v>
      </c>
      <c r="D571" t="s">
        <v>337</v>
      </c>
      <c r="F571">
        <v>26</v>
      </c>
      <c r="G571">
        <v>24</v>
      </c>
      <c r="H571">
        <v>1</v>
      </c>
      <c r="I571">
        <v>0</v>
      </c>
      <c r="J571">
        <v>1</v>
      </c>
      <c r="K571">
        <v>0</v>
      </c>
      <c r="L571">
        <v>0</v>
      </c>
      <c r="M571">
        <v>4</v>
      </c>
      <c r="N571">
        <v>7</v>
      </c>
      <c r="O571" s="2" t="s">
        <v>2431</v>
      </c>
      <c r="P571" s="4">
        <v>1780</v>
      </c>
      <c r="Q571" t="s">
        <v>345</v>
      </c>
      <c r="R571" t="str">
        <f>IF(Table3[[#This Row],[Narodowość]]&lt;&gt;"Polska","Tak","Nie")</f>
        <v>Nie</v>
      </c>
    </row>
    <row r="572" spans="1:18" x14ac:dyDescent="0.25">
      <c r="A572" t="s">
        <v>195</v>
      </c>
      <c r="B572" t="s">
        <v>359</v>
      </c>
      <c r="C572">
        <v>26</v>
      </c>
      <c r="D572" t="s">
        <v>337</v>
      </c>
      <c r="F572">
        <v>30</v>
      </c>
      <c r="G572">
        <v>30</v>
      </c>
      <c r="H572">
        <v>1</v>
      </c>
      <c r="I572">
        <v>4</v>
      </c>
      <c r="J572">
        <v>5</v>
      </c>
      <c r="K572">
        <v>0</v>
      </c>
      <c r="L572">
        <v>0</v>
      </c>
      <c r="M572">
        <v>2</v>
      </c>
      <c r="N572">
        <v>5</v>
      </c>
      <c r="O572" s="2" t="s">
        <v>2340</v>
      </c>
      <c r="P572" s="4">
        <v>2544</v>
      </c>
      <c r="Q572" t="s">
        <v>332</v>
      </c>
      <c r="R572" t="str">
        <f>IF(Table3[[#This Row],[Narodowość]]&lt;&gt;"Polska","Tak","Nie")</f>
        <v>Nie</v>
      </c>
    </row>
    <row r="573" spans="1:18" x14ac:dyDescent="0.25">
      <c r="A573" t="s">
        <v>300</v>
      </c>
      <c r="B573" t="s">
        <v>326</v>
      </c>
      <c r="C573">
        <v>18</v>
      </c>
      <c r="D573" t="s">
        <v>337</v>
      </c>
      <c r="F573">
        <v>5</v>
      </c>
      <c r="G573">
        <v>3</v>
      </c>
      <c r="H573">
        <v>0</v>
      </c>
      <c r="I573">
        <v>0</v>
      </c>
      <c r="J573">
        <v>1</v>
      </c>
      <c r="K573">
        <v>0</v>
      </c>
      <c r="L573">
        <v>0</v>
      </c>
      <c r="M573">
        <v>2</v>
      </c>
      <c r="N573">
        <v>1</v>
      </c>
      <c r="O573" s="2" t="s">
        <v>2291</v>
      </c>
      <c r="P573" s="4">
        <v>70</v>
      </c>
      <c r="Q573" t="s">
        <v>340</v>
      </c>
      <c r="R573" t="str">
        <f>IF(Table3[[#This Row],[Narodowość]]&lt;&gt;"Polska","Tak","Nie")</f>
        <v>Nie</v>
      </c>
    </row>
    <row r="574" spans="1:18" x14ac:dyDescent="0.25">
      <c r="A574" t="s">
        <v>445</v>
      </c>
      <c r="B574" t="s">
        <v>331</v>
      </c>
      <c r="C574">
        <v>27</v>
      </c>
      <c r="D574" t="s">
        <v>337</v>
      </c>
      <c r="F574">
        <v>19</v>
      </c>
      <c r="G574">
        <v>13</v>
      </c>
      <c r="H574">
        <v>0</v>
      </c>
      <c r="I574">
        <v>3</v>
      </c>
      <c r="J574">
        <v>1</v>
      </c>
      <c r="K574">
        <v>0</v>
      </c>
      <c r="L574">
        <v>0</v>
      </c>
      <c r="M574">
        <v>5</v>
      </c>
      <c r="N574">
        <v>3</v>
      </c>
      <c r="O574" s="2" t="s">
        <v>2371</v>
      </c>
      <c r="P574" s="4">
        <v>773</v>
      </c>
      <c r="Q574" t="s">
        <v>344</v>
      </c>
      <c r="R574" t="str">
        <f>IF(Table3[[#This Row],[Narodowość]]&lt;&gt;"Polska","Tak","Nie")</f>
        <v>Nie</v>
      </c>
    </row>
    <row r="575" spans="1:18" x14ac:dyDescent="0.25">
      <c r="A575" t="s">
        <v>671</v>
      </c>
      <c r="B575" t="s">
        <v>330</v>
      </c>
      <c r="C575">
        <v>18</v>
      </c>
      <c r="D575" t="s">
        <v>337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 s="2">
        <v>0</v>
      </c>
      <c r="P575" s="4">
        <v>0</v>
      </c>
      <c r="Q575" t="s">
        <v>318</v>
      </c>
      <c r="R575" t="str">
        <f>IF(Table3[[#This Row],[Narodowość]]&lt;&gt;"Polska","Tak","Nie")</f>
        <v>Nie</v>
      </c>
    </row>
    <row r="576" spans="1:18" x14ac:dyDescent="0.25">
      <c r="A576" t="s">
        <v>265</v>
      </c>
      <c r="B576" t="s">
        <v>331</v>
      </c>
      <c r="C576">
        <v>21</v>
      </c>
      <c r="D576" t="s">
        <v>337</v>
      </c>
      <c r="F576">
        <v>18</v>
      </c>
      <c r="G576">
        <v>17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5</v>
      </c>
      <c r="N576">
        <v>8</v>
      </c>
      <c r="O576" s="2" t="s">
        <v>2376</v>
      </c>
      <c r="P576" s="4">
        <v>992</v>
      </c>
      <c r="Q576" t="s">
        <v>383</v>
      </c>
      <c r="R576" t="str">
        <f>IF(Table3[[#This Row],[Narodowość]]&lt;&gt;"Polska","Tak","Nie")</f>
        <v>Nie</v>
      </c>
    </row>
    <row r="577" spans="1:18" x14ac:dyDescent="0.25">
      <c r="A577" t="s">
        <v>1577</v>
      </c>
      <c r="B577" t="s">
        <v>0</v>
      </c>
      <c r="C577">
        <v>18</v>
      </c>
      <c r="D577" t="s">
        <v>337</v>
      </c>
      <c r="F577">
        <v>3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 s="2">
        <v>0</v>
      </c>
      <c r="P577" s="4">
        <v>0</v>
      </c>
      <c r="Q577" t="s">
        <v>349</v>
      </c>
      <c r="R577" t="str">
        <f>IF(Table3[[#This Row],[Narodowość]]&lt;&gt;"Polska","Tak","Nie")</f>
        <v>Nie</v>
      </c>
    </row>
    <row r="578" spans="1:18" x14ac:dyDescent="0.25">
      <c r="A578" t="s">
        <v>360</v>
      </c>
      <c r="B578" t="s">
        <v>331</v>
      </c>
      <c r="C578">
        <v>26</v>
      </c>
      <c r="D578" t="s">
        <v>337</v>
      </c>
      <c r="F578">
        <v>14</v>
      </c>
      <c r="G578">
        <v>14</v>
      </c>
      <c r="H578">
        <v>2</v>
      </c>
      <c r="I578">
        <v>0</v>
      </c>
      <c r="J578">
        <v>0</v>
      </c>
      <c r="K578">
        <v>0</v>
      </c>
      <c r="L578">
        <v>0</v>
      </c>
      <c r="M578">
        <v>4</v>
      </c>
      <c r="N578">
        <v>8</v>
      </c>
      <c r="O578" s="2" t="s">
        <v>2297</v>
      </c>
      <c r="P578" s="4">
        <v>909</v>
      </c>
      <c r="Q578" t="s">
        <v>318</v>
      </c>
      <c r="R578" t="str">
        <f>IF(Table3[[#This Row],[Narodowość]]&lt;&gt;"Polska","Tak","Nie")</f>
        <v>Nie</v>
      </c>
    </row>
    <row r="579" spans="1:18" x14ac:dyDescent="0.25">
      <c r="A579" t="s">
        <v>360</v>
      </c>
      <c r="B579" t="s">
        <v>331</v>
      </c>
      <c r="C579">
        <v>26</v>
      </c>
      <c r="D579" t="s">
        <v>337</v>
      </c>
      <c r="F579">
        <v>19</v>
      </c>
      <c r="G579">
        <v>19</v>
      </c>
      <c r="H579">
        <v>5</v>
      </c>
      <c r="I579">
        <v>0</v>
      </c>
      <c r="J579">
        <v>3</v>
      </c>
      <c r="K579">
        <v>0</v>
      </c>
      <c r="L579">
        <v>0</v>
      </c>
      <c r="M579">
        <v>0</v>
      </c>
      <c r="N579">
        <v>0</v>
      </c>
      <c r="O579" s="2" t="s">
        <v>2289</v>
      </c>
      <c r="P579" s="4">
        <v>1710</v>
      </c>
      <c r="Q579" t="s">
        <v>344</v>
      </c>
      <c r="R579" t="str">
        <f>IF(Table3[[#This Row],[Narodowość]]&lt;&gt;"Polska","Tak","Nie")</f>
        <v>Nie</v>
      </c>
    </row>
    <row r="580" spans="1:18" x14ac:dyDescent="0.25">
      <c r="A580" t="s">
        <v>301</v>
      </c>
      <c r="B580" t="s">
        <v>328</v>
      </c>
      <c r="C580">
        <v>23</v>
      </c>
      <c r="D580" t="s">
        <v>337</v>
      </c>
      <c r="F580">
        <v>33</v>
      </c>
      <c r="G580">
        <v>33</v>
      </c>
      <c r="H580">
        <v>11</v>
      </c>
      <c r="I580">
        <v>5</v>
      </c>
      <c r="J580">
        <v>3</v>
      </c>
      <c r="K580">
        <v>0</v>
      </c>
      <c r="L580">
        <v>0</v>
      </c>
      <c r="M580">
        <v>3</v>
      </c>
      <c r="N580">
        <v>15</v>
      </c>
      <c r="O580" s="2" t="s">
        <v>2307</v>
      </c>
      <c r="P580" s="4">
        <v>2518</v>
      </c>
      <c r="Q580" t="s">
        <v>340</v>
      </c>
      <c r="R580" t="str">
        <f>IF(Table3[[#This Row],[Narodowość]]&lt;&gt;"Polska","Tak","Nie")</f>
        <v>Nie</v>
      </c>
    </row>
    <row r="581" spans="1:18" x14ac:dyDescent="0.25">
      <c r="A581" t="s">
        <v>1287</v>
      </c>
      <c r="B581" t="s">
        <v>325</v>
      </c>
      <c r="C581">
        <v>31</v>
      </c>
      <c r="D581" t="s">
        <v>337</v>
      </c>
      <c r="F581">
        <v>21</v>
      </c>
      <c r="G581">
        <v>20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17</v>
      </c>
      <c r="N581">
        <v>2</v>
      </c>
      <c r="O581" s="2" t="s">
        <v>2380</v>
      </c>
      <c r="P581" s="4">
        <v>511</v>
      </c>
      <c r="Q581" t="s">
        <v>339</v>
      </c>
      <c r="R581" t="str">
        <f>IF(Table3[[#This Row],[Narodowość]]&lt;&gt;"Polska","Tak","Nie")</f>
        <v>Nie</v>
      </c>
    </row>
    <row r="582" spans="1:18" x14ac:dyDescent="0.25">
      <c r="A582" t="s">
        <v>764</v>
      </c>
      <c r="B582" t="s">
        <v>382</v>
      </c>
      <c r="C582">
        <v>17</v>
      </c>
      <c r="D582" t="s">
        <v>337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 s="2">
        <v>0</v>
      </c>
      <c r="P582" s="4">
        <v>0</v>
      </c>
      <c r="Q582" t="s">
        <v>334</v>
      </c>
      <c r="R582" t="str">
        <f>IF(Table3[[#This Row],[Narodowość]]&lt;&gt;"Polska","Tak","Nie")</f>
        <v>Nie</v>
      </c>
    </row>
    <row r="583" spans="1:18" x14ac:dyDescent="0.25">
      <c r="A583" t="s">
        <v>42</v>
      </c>
      <c r="B583" t="s">
        <v>359</v>
      </c>
      <c r="C583">
        <v>21</v>
      </c>
      <c r="D583" t="s">
        <v>337</v>
      </c>
      <c r="F583">
        <v>10</v>
      </c>
      <c r="G583">
        <v>5</v>
      </c>
      <c r="H583">
        <v>0</v>
      </c>
      <c r="I583">
        <v>0</v>
      </c>
      <c r="J583">
        <v>1</v>
      </c>
      <c r="K583">
        <v>0</v>
      </c>
      <c r="L583">
        <v>0</v>
      </c>
      <c r="M583">
        <v>1</v>
      </c>
      <c r="N583">
        <v>4</v>
      </c>
      <c r="O583" s="2" t="s">
        <v>2280</v>
      </c>
      <c r="P583" s="4">
        <v>262</v>
      </c>
      <c r="Q583" t="s">
        <v>23</v>
      </c>
      <c r="R583" t="str">
        <f>IF(Table3[[#This Row],[Narodowość]]&lt;&gt;"Polska","Tak","Nie")</f>
        <v>Nie</v>
      </c>
    </row>
    <row r="584" spans="1:18" x14ac:dyDescent="0.25">
      <c r="A584" t="s">
        <v>544</v>
      </c>
      <c r="B584" t="s">
        <v>0</v>
      </c>
      <c r="C584">
        <v>23</v>
      </c>
      <c r="D584" t="s">
        <v>548</v>
      </c>
      <c r="F584">
        <v>16</v>
      </c>
      <c r="G584">
        <v>9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 s="2" t="s">
        <v>2301</v>
      </c>
      <c r="P584" s="4">
        <v>810</v>
      </c>
      <c r="Q584" t="s">
        <v>316</v>
      </c>
      <c r="R584" t="str">
        <f>IF(Table3[[#This Row],[Narodowość]]&lt;&gt;"Polska","Tak","Nie")</f>
        <v>Tak</v>
      </c>
    </row>
    <row r="585" spans="1:18" x14ac:dyDescent="0.25">
      <c r="A585" t="s">
        <v>74</v>
      </c>
      <c r="B585" t="s">
        <v>0</v>
      </c>
      <c r="C585">
        <v>35</v>
      </c>
      <c r="D585" t="s">
        <v>343</v>
      </c>
      <c r="F585">
        <v>26</v>
      </c>
      <c r="G585">
        <v>10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 s="2" t="s">
        <v>2281</v>
      </c>
      <c r="P585" s="4">
        <v>900</v>
      </c>
      <c r="Q585" t="s">
        <v>361</v>
      </c>
      <c r="R585" t="str">
        <f>IF(Table3[[#This Row],[Narodowość]]&lt;&gt;"Polska","Tak","Nie")</f>
        <v>Tak</v>
      </c>
    </row>
    <row r="586" spans="1:18" x14ac:dyDescent="0.25">
      <c r="A586" t="s">
        <v>2222</v>
      </c>
      <c r="B586" t="s">
        <v>382</v>
      </c>
      <c r="C586">
        <v>30</v>
      </c>
      <c r="D586" t="s">
        <v>337</v>
      </c>
      <c r="F586">
        <v>12</v>
      </c>
      <c r="G586">
        <v>6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 s="2" t="s">
        <v>2336</v>
      </c>
      <c r="P586" s="4">
        <v>540</v>
      </c>
      <c r="Q586" t="s">
        <v>348</v>
      </c>
      <c r="R586" t="str">
        <f>IF(Table3[[#This Row],[Narodowość]]&lt;&gt;"Polska","Tak","Nie")</f>
        <v>Nie</v>
      </c>
    </row>
    <row r="587" spans="1:18" x14ac:dyDescent="0.25">
      <c r="A587" t="s">
        <v>2125</v>
      </c>
      <c r="B587" t="s">
        <v>0</v>
      </c>
      <c r="C587">
        <v>37</v>
      </c>
      <c r="D587" t="s">
        <v>337</v>
      </c>
      <c r="F587">
        <v>30</v>
      </c>
      <c r="G587">
        <v>14</v>
      </c>
      <c r="H587">
        <v>0</v>
      </c>
      <c r="I587">
        <v>0</v>
      </c>
      <c r="J587">
        <v>2</v>
      </c>
      <c r="K587">
        <v>0</v>
      </c>
      <c r="L587">
        <v>0</v>
      </c>
      <c r="M587">
        <v>0</v>
      </c>
      <c r="N587">
        <v>0</v>
      </c>
      <c r="O587" s="2" t="s">
        <v>2301</v>
      </c>
      <c r="P587" s="4">
        <v>1260</v>
      </c>
      <c r="Q587" t="s">
        <v>383</v>
      </c>
      <c r="R587" t="str">
        <f>IF(Table3[[#This Row],[Narodowość]]&lt;&gt;"Polska","Tak","Nie")</f>
        <v>Nie</v>
      </c>
    </row>
    <row r="588" spans="1:18" x14ac:dyDescent="0.25">
      <c r="A588" t="s">
        <v>2142</v>
      </c>
      <c r="B588" t="s">
        <v>382</v>
      </c>
      <c r="C588">
        <v>17</v>
      </c>
      <c r="D588" t="s">
        <v>337</v>
      </c>
      <c r="F588">
        <v>1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 s="2">
        <v>0</v>
      </c>
      <c r="P588" s="4">
        <v>0</v>
      </c>
      <c r="Q588" t="s">
        <v>383</v>
      </c>
      <c r="R588" t="str">
        <f>IF(Table3[[#This Row],[Narodowość]]&lt;&gt;"Polska","Tak","Nie")</f>
        <v>Nie</v>
      </c>
    </row>
    <row r="589" spans="1:18" x14ac:dyDescent="0.25">
      <c r="A589" t="s">
        <v>1705</v>
      </c>
      <c r="B589" t="s">
        <v>376</v>
      </c>
      <c r="C589">
        <v>22</v>
      </c>
      <c r="D589" t="s">
        <v>337</v>
      </c>
      <c r="F589">
        <v>15</v>
      </c>
      <c r="G589">
        <v>13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5</v>
      </c>
      <c r="N589">
        <v>5</v>
      </c>
      <c r="O589" s="2" t="s">
        <v>2416</v>
      </c>
      <c r="P589" s="4">
        <v>716</v>
      </c>
      <c r="Q589" t="s">
        <v>361</v>
      </c>
      <c r="R589" t="str">
        <f>IF(Table3[[#This Row],[Narodowość]]&lt;&gt;"Polska","Tak","Nie")</f>
        <v>Nie</v>
      </c>
    </row>
    <row r="590" spans="1:18" x14ac:dyDescent="0.25">
      <c r="A590" t="s">
        <v>1382</v>
      </c>
      <c r="B590" t="s">
        <v>0</v>
      </c>
      <c r="C590">
        <v>21</v>
      </c>
      <c r="D590" t="s">
        <v>337</v>
      </c>
      <c r="F590">
        <v>4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 s="2">
        <v>0</v>
      </c>
      <c r="P590" s="4">
        <v>0</v>
      </c>
      <c r="Q590" t="s">
        <v>317</v>
      </c>
      <c r="R590" t="str">
        <f>IF(Table3[[#This Row],[Narodowość]]&lt;&gt;"Polska","Tak","Nie")</f>
        <v>Nie</v>
      </c>
    </row>
    <row r="591" spans="1:18" x14ac:dyDescent="0.25">
      <c r="A591" t="s">
        <v>534</v>
      </c>
      <c r="B591" t="s">
        <v>376</v>
      </c>
      <c r="C591">
        <v>25</v>
      </c>
      <c r="D591" t="s">
        <v>337</v>
      </c>
      <c r="F591">
        <v>29</v>
      </c>
      <c r="G591">
        <v>17</v>
      </c>
      <c r="H591">
        <v>0</v>
      </c>
      <c r="I591">
        <v>1</v>
      </c>
      <c r="J591">
        <v>2</v>
      </c>
      <c r="K591">
        <v>0</v>
      </c>
      <c r="L591">
        <v>0</v>
      </c>
      <c r="M591">
        <v>7</v>
      </c>
      <c r="N591">
        <v>4</v>
      </c>
      <c r="O591" s="2" t="s">
        <v>2328</v>
      </c>
      <c r="P591" s="4">
        <v>935</v>
      </c>
      <c r="Q591" t="s">
        <v>341</v>
      </c>
      <c r="R591" t="str">
        <f>IF(Table3[[#This Row],[Narodowość]]&lt;&gt;"Polska","Tak","Nie")</f>
        <v>Nie</v>
      </c>
    </row>
    <row r="592" spans="1:18" x14ac:dyDescent="0.25">
      <c r="A592" t="s">
        <v>2270</v>
      </c>
      <c r="B592" t="s">
        <v>325</v>
      </c>
      <c r="C592">
        <v>31</v>
      </c>
      <c r="D592" t="s">
        <v>337</v>
      </c>
      <c r="F592">
        <v>12</v>
      </c>
      <c r="G592">
        <v>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8</v>
      </c>
      <c r="N592">
        <v>1</v>
      </c>
      <c r="O592" s="2" t="s">
        <v>2368</v>
      </c>
      <c r="P592" s="4">
        <v>174</v>
      </c>
      <c r="Q592" t="s">
        <v>348</v>
      </c>
      <c r="R592" t="str">
        <f>IF(Table3[[#This Row],[Narodowość]]&lt;&gt;"Polska","Tak","Nie")</f>
        <v>Nie</v>
      </c>
    </row>
    <row r="593" spans="1:18" x14ac:dyDescent="0.25">
      <c r="A593" t="s">
        <v>354</v>
      </c>
      <c r="B593" t="s">
        <v>352</v>
      </c>
      <c r="C593">
        <v>29</v>
      </c>
      <c r="D593" t="s">
        <v>337</v>
      </c>
      <c r="F593">
        <v>14</v>
      </c>
      <c r="G593">
        <v>14</v>
      </c>
      <c r="H593">
        <v>6</v>
      </c>
      <c r="I593">
        <v>3</v>
      </c>
      <c r="J593">
        <v>0</v>
      </c>
      <c r="K593">
        <v>0</v>
      </c>
      <c r="L593">
        <v>0</v>
      </c>
      <c r="M593">
        <v>2</v>
      </c>
      <c r="N593">
        <v>4</v>
      </c>
      <c r="O593" s="2" t="s">
        <v>2293</v>
      </c>
      <c r="P593" s="4">
        <v>1091</v>
      </c>
      <c r="Q593" t="s">
        <v>318</v>
      </c>
      <c r="R593" t="str">
        <f>IF(Table3[[#This Row],[Narodowość]]&lt;&gt;"Polska","Tak","Nie")</f>
        <v>Nie</v>
      </c>
    </row>
    <row r="594" spans="1:18" x14ac:dyDescent="0.25">
      <c r="A594" t="s">
        <v>2077</v>
      </c>
      <c r="B594" t="s">
        <v>331</v>
      </c>
      <c r="C594">
        <v>23</v>
      </c>
      <c r="D594" t="s">
        <v>337</v>
      </c>
      <c r="F594">
        <v>7</v>
      </c>
      <c r="G594">
        <v>5</v>
      </c>
      <c r="H594">
        <v>0</v>
      </c>
      <c r="I594">
        <v>0</v>
      </c>
      <c r="J594">
        <v>1</v>
      </c>
      <c r="K594">
        <v>0</v>
      </c>
      <c r="L594">
        <v>0</v>
      </c>
      <c r="M594">
        <v>3</v>
      </c>
      <c r="N594">
        <v>2</v>
      </c>
      <c r="O594" s="2" t="s">
        <v>2394</v>
      </c>
      <c r="P594" s="4">
        <v>233</v>
      </c>
      <c r="Q594" t="s">
        <v>316</v>
      </c>
      <c r="R594" t="str">
        <f>IF(Table3[[#This Row],[Narodowość]]&lt;&gt;"Polska","Tak","Nie")</f>
        <v>Nie</v>
      </c>
    </row>
    <row r="595" spans="1:18" x14ac:dyDescent="0.25">
      <c r="A595" t="s">
        <v>96</v>
      </c>
      <c r="B595" t="s">
        <v>357</v>
      </c>
      <c r="C595">
        <v>26</v>
      </c>
      <c r="D595" t="s">
        <v>336</v>
      </c>
      <c r="F595">
        <v>25</v>
      </c>
      <c r="G595">
        <v>21</v>
      </c>
      <c r="H595">
        <v>1</v>
      </c>
      <c r="I595">
        <v>4</v>
      </c>
      <c r="J595">
        <v>1</v>
      </c>
      <c r="K595">
        <v>0</v>
      </c>
      <c r="L595">
        <v>0</v>
      </c>
      <c r="M595">
        <v>0</v>
      </c>
      <c r="N595">
        <v>2</v>
      </c>
      <c r="O595" s="2" t="s">
        <v>2320</v>
      </c>
      <c r="P595" s="4">
        <v>1846</v>
      </c>
      <c r="Q595" t="s">
        <v>334</v>
      </c>
      <c r="R595" t="str">
        <f>IF(Table3[[#This Row],[Narodowość]]&lt;&gt;"Polska","Tak","Nie")</f>
        <v>Tak</v>
      </c>
    </row>
    <row r="596" spans="1:18" x14ac:dyDescent="0.25">
      <c r="A596" t="s">
        <v>102</v>
      </c>
      <c r="B596" t="s">
        <v>330</v>
      </c>
      <c r="C596">
        <v>32</v>
      </c>
      <c r="D596" t="s">
        <v>336</v>
      </c>
      <c r="F596">
        <v>30</v>
      </c>
      <c r="G596">
        <v>25</v>
      </c>
      <c r="H596">
        <v>1</v>
      </c>
      <c r="I596">
        <v>1</v>
      </c>
      <c r="J596">
        <v>5</v>
      </c>
      <c r="K596">
        <v>0</v>
      </c>
      <c r="L596">
        <v>0</v>
      </c>
      <c r="M596">
        <v>13</v>
      </c>
      <c r="N596">
        <v>9</v>
      </c>
      <c r="O596" s="2" t="s">
        <v>2329</v>
      </c>
      <c r="P596" s="4">
        <v>1213</v>
      </c>
      <c r="Q596" t="s">
        <v>334</v>
      </c>
      <c r="R596" t="str">
        <f>IF(Table3[[#This Row],[Narodowość]]&lt;&gt;"Polska","Tak","Nie")</f>
        <v>Tak</v>
      </c>
    </row>
    <row r="597" spans="1:18" x14ac:dyDescent="0.25">
      <c r="A597" t="s">
        <v>902</v>
      </c>
      <c r="B597" t="s">
        <v>326</v>
      </c>
      <c r="C597">
        <v>19</v>
      </c>
      <c r="D597" t="s">
        <v>336</v>
      </c>
      <c r="F597">
        <v>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 s="2">
        <v>0</v>
      </c>
      <c r="P597" s="4">
        <v>0</v>
      </c>
      <c r="Q597" t="s">
        <v>332</v>
      </c>
      <c r="R597" t="str">
        <f>IF(Table3[[#This Row],[Narodowość]]&lt;&gt;"Polska","Tak","Nie")</f>
        <v>Tak</v>
      </c>
    </row>
    <row r="598" spans="1:18" x14ac:dyDescent="0.25">
      <c r="A598" t="s">
        <v>41</v>
      </c>
      <c r="B598" t="s">
        <v>324</v>
      </c>
      <c r="C598">
        <v>25</v>
      </c>
      <c r="D598" t="s">
        <v>365</v>
      </c>
      <c r="F598">
        <v>33</v>
      </c>
      <c r="G598">
        <v>33</v>
      </c>
      <c r="H598">
        <v>8</v>
      </c>
      <c r="I598">
        <v>1</v>
      </c>
      <c r="J598">
        <v>7</v>
      </c>
      <c r="K598">
        <v>0</v>
      </c>
      <c r="L598">
        <v>0</v>
      </c>
      <c r="M598">
        <v>3</v>
      </c>
      <c r="N598">
        <v>5</v>
      </c>
      <c r="O598" s="2" t="s">
        <v>2306</v>
      </c>
      <c r="P598" s="4">
        <v>2698</v>
      </c>
      <c r="Q598" t="s">
        <v>23</v>
      </c>
      <c r="R598" t="str">
        <f>IF(Table3[[#This Row],[Narodowość]]&lt;&gt;"Polska","Tak","Nie")</f>
        <v>Tak</v>
      </c>
    </row>
    <row r="599" spans="1:18" x14ac:dyDescent="0.25">
      <c r="A599" t="s">
        <v>235</v>
      </c>
      <c r="B599" t="s">
        <v>330</v>
      </c>
      <c r="C599">
        <v>29</v>
      </c>
      <c r="D599" t="s">
        <v>362</v>
      </c>
      <c r="F599">
        <v>32</v>
      </c>
      <c r="G599">
        <v>31</v>
      </c>
      <c r="H599">
        <v>2</v>
      </c>
      <c r="I599">
        <v>1</v>
      </c>
      <c r="J599">
        <v>4</v>
      </c>
      <c r="K599">
        <v>1</v>
      </c>
      <c r="L599">
        <v>0</v>
      </c>
      <c r="M599">
        <v>3</v>
      </c>
      <c r="N599">
        <v>7</v>
      </c>
      <c r="O599" s="2" t="s">
        <v>2423</v>
      </c>
      <c r="P599" s="4">
        <v>2433</v>
      </c>
      <c r="Q599" t="s">
        <v>345</v>
      </c>
      <c r="R599" t="str">
        <f>IF(Table3[[#This Row],[Narodowość]]&lt;&gt;"Polska","Tak","Nie")</f>
        <v>Tak</v>
      </c>
    </row>
    <row r="600" spans="1:18" x14ac:dyDescent="0.25">
      <c r="A600" t="s">
        <v>70</v>
      </c>
      <c r="B600" t="s">
        <v>325</v>
      </c>
      <c r="C600">
        <v>26</v>
      </c>
      <c r="D600" t="s">
        <v>337</v>
      </c>
      <c r="F600">
        <v>31</v>
      </c>
      <c r="G600">
        <v>30</v>
      </c>
      <c r="H600">
        <v>5</v>
      </c>
      <c r="I600">
        <v>1</v>
      </c>
      <c r="J600">
        <v>0</v>
      </c>
      <c r="K600">
        <v>0</v>
      </c>
      <c r="L600">
        <v>0</v>
      </c>
      <c r="M600">
        <v>8</v>
      </c>
      <c r="N600">
        <v>17</v>
      </c>
      <c r="O600" s="2" t="s">
        <v>2283</v>
      </c>
      <c r="P600" s="4">
        <v>1795</v>
      </c>
      <c r="Q600" t="s">
        <v>317</v>
      </c>
      <c r="R600" t="str">
        <f>IF(Table3[[#This Row],[Narodowość]]&lt;&gt;"Polska","Tak","Nie")</f>
        <v>Nie</v>
      </c>
    </row>
    <row r="601" spans="1:18" x14ac:dyDescent="0.25">
      <c r="A601" t="s">
        <v>169</v>
      </c>
      <c r="B601" t="s">
        <v>325</v>
      </c>
      <c r="C601">
        <v>27</v>
      </c>
      <c r="D601" t="s">
        <v>337</v>
      </c>
      <c r="E601" t="s">
        <v>365</v>
      </c>
      <c r="F601">
        <v>33</v>
      </c>
      <c r="G601">
        <v>27</v>
      </c>
      <c r="H601">
        <v>1</v>
      </c>
      <c r="I601">
        <v>1</v>
      </c>
      <c r="J601">
        <v>3</v>
      </c>
      <c r="K601">
        <v>0</v>
      </c>
      <c r="L601">
        <v>0</v>
      </c>
      <c r="M601">
        <v>16</v>
      </c>
      <c r="N601">
        <v>8</v>
      </c>
      <c r="O601" s="2" t="s">
        <v>2353</v>
      </c>
      <c r="P601" s="4">
        <v>1008</v>
      </c>
      <c r="Q601" t="s">
        <v>341</v>
      </c>
      <c r="R601" t="str">
        <f>IF(Table3[[#This Row],[Narodowość]]&lt;&gt;"Polska","Tak","Nie")</f>
        <v>Nie</v>
      </c>
    </row>
    <row r="602" spans="1:18" x14ac:dyDescent="0.25">
      <c r="A602" t="s">
        <v>2020</v>
      </c>
      <c r="B602" t="s">
        <v>324</v>
      </c>
      <c r="C602">
        <v>19</v>
      </c>
      <c r="D602" t="s">
        <v>337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 s="2">
        <v>0</v>
      </c>
      <c r="P602" s="4">
        <v>0</v>
      </c>
      <c r="Q602" t="s">
        <v>345</v>
      </c>
      <c r="R602" t="str">
        <f>IF(Table3[[#This Row],[Narodowość]]&lt;&gt;"Polska","Tak","Nie")</f>
        <v>Nie</v>
      </c>
    </row>
    <row r="603" spans="1:18" x14ac:dyDescent="0.25">
      <c r="A603" t="s">
        <v>2180</v>
      </c>
      <c r="B603" t="s">
        <v>326</v>
      </c>
      <c r="C603">
        <v>17</v>
      </c>
      <c r="D603" t="s">
        <v>337</v>
      </c>
      <c r="F603">
        <v>25</v>
      </c>
      <c r="G603">
        <v>18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12</v>
      </c>
      <c r="N603">
        <v>6</v>
      </c>
      <c r="O603" s="2" t="s">
        <v>2425</v>
      </c>
      <c r="P603" s="4">
        <v>554</v>
      </c>
      <c r="Q603" t="s">
        <v>383</v>
      </c>
      <c r="R603" t="str">
        <f>IF(Table3[[#This Row],[Narodowość]]&lt;&gt;"Polska","Tak","Nie")</f>
        <v>Nie</v>
      </c>
    </row>
    <row r="604" spans="1:18" x14ac:dyDescent="0.25">
      <c r="A604" t="s">
        <v>281</v>
      </c>
      <c r="B604" t="s">
        <v>357</v>
      </c>
      <c r="C604">
        <v>33</v>
      </c>
      <c r="D604" t="s">
        <v>337</v>
      </c>
      <c r="F604">
        <v>29</v>
      </c>
      <c r="G604">
        <v>29</v>
      </c>
      <c r="H604">
        <v>2</v>
      </c>
      <c r="I604">
        <v>4</v>
      </c>
      <c r="J604">
        <v>10</v>
      </c>
      <c r="K604">
        <v>0</v>
      </c>
      <c r="L604">
        <v>0</v>
      </c>
      <c r="M604">
        <v>2</v>
      </c>
      <c r="N604">
        <v>3</v>
      </c>
      <c r="O604" s="2" t="s">
        <v>2381</v>
      </c>
      <c r="P604" s="4">
        <v>2402</v>
      </c>
      <c r="Q604" t="s">
        <v>339</v>
      </c>
      <c r="R604" t="str">
        <f>IF(Table3[[#This Row],[Narodowość]]&lt;&gt;"Polska","Tak","Nie")</f>
        <v>Nie</v>
      </c>
    </row>
    <row r="605" spans="1:18" x14ac:dyDescent="0.25">
      <c r="A605" t="s">
        <v>312</v>
      </c>
      <c r="B605" t="s">
        <v>331</v>
      </c>
      <c r="C605">
        <v>32</v>
      </c>
      <c r="D605" t="s">
        <v>337</v>
      </c>
      <c r="F605">
        <v>30</v>
      </c>
      <c r="G605">
        <v>30</v>
      </c>
      <c r="H605">
        <v>9</v>
      </c>
      <c r="I605">
        <v>2</v>
      </c>
      <c r="J605">
        <v>8</v>
      </c>
      <c r="K605">
        <v>0</v>
      </c>
      <c r="L605">
        <v>0</v>
      </c>
      <c r="M605">
        <v>2</v>
      </c>
      <c r="N605">
        <v>5</v>
      </c>
      <c r="O605" s="2" t="s">
        <v>2438</v>
      </c>
      <c r="P605" s="4">
        <v>2477</v>
      </c>
      <c r="Q605" t="s">
        <v>316</v>
      </c>
      <c r="R605" t="str">
        <f>IF(Table3[[#This Row],[Narodowość]]&lt;&gt;"Polska","Tak","Nie")</f>
        <v>Nie</v>
      </c>
    </row>
    <row r="606" spans="1:18" x14ac:dyDescent="0.25">
      <c r="A606" t="s">
        <v>1227</v>
      </c>
      <c r="B606" t="s">
        <v>0</v>
      </c>
      <c r="C606">
        <v>22</v>
      </c>
      <c r="D606" t="s">
        <v>337</v>
      </c>
      <c r="F606">
        <v>2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 s="2">
        <v>0</v>
      </c>
      <c r="P606" s="4">
        <v>0</v>
      </c>
      <c r="Q606" t="s">
        <v>339</v>
      </c>
      <c r="R606" t="str">
        <f>IF(Table3[[#This Row],[Narodowość]]&lt;&gt;"Polska","Tak","Nie")</f>
        <v>Nie</v>
      </c>
    </row>
    <row r="607" spans="1:18" x14ac:dyDescent="0.25">
      <c r="A607" t="s">
        <v>380</v>
      </c>
      <c r="B607" t="s">
        <v>325</v>
      </c>
      <c r="C607">
        <v>24</v>
      </c>
      <c r="D607" t="s">
        <v>337</v>
      </c>
      <c r="F607">
        <v>29</v>
      </c>
      <c r="G607">
        <v>28</v>
      </c>
      <c r="H607">
        <v>4</v>
      </c>
      <c r="I607">
        <v>2</v>
      </c>
      <c r="J607">
        <v>2</v>
      </c>
      <c r="K607">
        <v>1</v>
      </c>
      <c r="L607">
        <v>0</v>
      </c>
      <c r="M607">
        <v>17</v>
      </c>
      <c r="N607">
        <v>5</v>
      </c>
      <c r="O607" s="2" t="s">
        <v>2434</v>
      </c>
      <c r="P607" s="4">
        <v>1101</v>
      </c>
      <c r="Q607" t="s">
        <v>348</v>
      </c>
      <c r="R607" t="str">
        <f>IF(Table3[[#This Row],[Narodowość]]&lt;&gt;"Polska","Tak","Nie")</f>
        <v>Nie</v>
      </c>
    </row>
    <row r="608" spans="1:18" x14ac:dyDescent="0.25">
      <c r="A608" t="s">
        <v>2023</v>
      </c>
      <c r="B608" t="s">
        <v>324</v>
      </c>
      <c r="C608">
        <v>21</v>
      </c>
      <c r="D608" t="s">
        <v>337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 s="2">
        <v>0</v>
      </c>
      <c r="P608" s="4">
        <v>0</v>
      </c>
      <c r="Q608" t="s">
        <v>345</v>
      </c>
      <c r="R608" t="str">
        <f>IF(Table3[[#This Row],[Narodowość]]&lt;&gt;"Polska","Tak","Nie")</f>
        <v>Nie</v>
      </c>
    </row>
    <row r="609" spans="1:18" x14ac:dyDescent="0.25">
      <c r="A609" t="s">
        <v>1485</v>
      </c>
      <c r="B609" t="s">
        <v>324</v>
      </c>
      <c r="C609">
        <v>18</v>
      </c>
      <c r="D609" t="s">
        <v>337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 s="2">
        <v>0</v>
      </c>
      <c r="P609" s="4">
        <v>0</v>
      </c>
      <c r="Q609" t="s">
        <v>23</v>
      </c>
      <c r="R609" t="str">
        <f>IF(Table3[[#This Row],[Narodowość]]&lt;&gt;"Polska","Tak","Nie")</f>
        <v>Nie</v>
      </c>
    </row>
    <row r="610" spans="1:18" x14ac:dyDescent="0.25">
      <c r="A610" t="s">
        <v>1872</v>
      </c>
      <c r="B610" t="s">
        <v>352</v>
      </c>
      <c r="C610">
        <v>18</v>
      </c>
      <c r="D610" t="s">
        <v>337</v>
      </c>
      <c r="F610">
        <v>10</v>
      </c>
      <c r="G610">
        <v>4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3</v>
      </c>
      <c r="N610">
        <v>1</v>
      </c>
      <c r="O610" s="2" t="s">
        <v>2291</v>
      </c>
      <c r="P610" s="4">
        <v>93</v>
      </c>
      <c r="Q610" t="s">
        <v>319</v>
      </c>
      <c r="R610" t="str">
        <f>IF(Table3[[#This Row],[Narodowość]]&lt;&gt;"Polska","Tak","Nie")</f>
        <v>Nie</v>
      </c>
    </row>
    <row r="611" spans="1:18" x14ac:dyDescent="0.25">
      <c r="A611" t="s">
        <v>483</v>
      </c>
      <c r="B611" t="s">
        <v>324</v>
      </c>
      <c r="C611">
        <v>23</v>
      </c>
      <c r="D611" t="s">
        <v>337</v>
      </c>
      <c r="F611">
        <v>23</v>
      </c>
      <c r="G611">
        <v>19</v>
      </c>
      <c r="H611">
        <v>1</v>
      </c>
      <c r="I611">
        <v>0</v>
      </c>
      <c r="J611">
        <v>2</v>
      </c>
      <c r="K611">
        <v>0</v>
      </c>
      <c r="L611">
        <v>0</v>
      </c>
      <c r="M611">
        <v>10</v>
      </c>
      <c r="N611">
        <v>8</v>
      </c>
      <c r="O611" s="2" t="s">
        <v>2417</v>
      </c>
      <c r="P611" s="4">
        <v>771</v>
      </c>
      <c r="Q611" t="s">
        <v>361</v>
      </c>
      <c r="R611" t="str">
        <f>IF(Table3[[#This Row],[Narodowość]]&lt;&gt;"Polska","Tak","Nie")</f>
        <v>Nie</v>
      </c>
    </row>
    <row r="612" spans="1:18" x14ac:dyDescent="0.25">
      <c r="A612" t="s">
        <v>515</v>
      </c>
      <c r="B612" t="s">
        <v>382</v>
      </c>
      <c r="C612">
        <v>22</v>
      </c>
      <c r="D612" t="s">
        <v>337</v>
      </c>
      <c r="F612">
        <v>33</v>
      </c>
      <c r="G612">
        <v>33</v>
      </c>
      <c r="H612">
        <v>0</v>
      </c>
      <c r="I612">
        <v>1</v>
      </c>
      <c r="J612">
        <v>5</v>
      </c>
      <c r="K612">
        <v>0</v>
      </c>
      <c r="L612">
        <v>0</v>
      </c>
      <c r="M612">
        <v>0</v>
      </c>
      <c r="N612">
        <v>3</v>
      </c>
      <c r="O612" s="2" t="s">
        <v>2366</v>
      </c>
      <c r="P612" s="4">
        <v>2938</v>
      </c>
      <c r="Q612" t="s">
        <v>317</v>
      </c>
      <c r="R612" t="str">
        <f>IF(Table3[[#This Row],[Narodowość]]&lt;&gt;"Polska","Tak","Nie")</f>
        <v>Nie</v>
      </c>
    </row>
    <row r="613" spans="1:18" x14ac:dyDescent="0.25">
      <c r="A613" t="s">
        <v>494</v>
      </c>
      <c r="B613" t="s">
        <v>324</v>
      </c>
      <c r="C613">
        <v>18</v>
      </c>
      <c r="D613" t="s">
        <v>337</v>
      </c>
      <c r="F613">
        <v>31</v>
      </c>
      <c r="G613">
        <v>17</v>
      </c>
      <c r="H613">
        <v>1</v>
      </c>
      <c r="I613">
        <v>0</v>
      </c>
      <c r="J613">
        <v>3</v>
      </c>
      <c r="K613">
        <v>0</v>
      </c>
      <c r="L613">
        <v>0</v>
      </c>
      <c r="M613">
        <v>9</v>
      </c>
      <c r="N613">
        <v>8</v>
      </c>
      <c r="O613" s="2" t="s">
        <v>2387</v>
      </c>
      <c r="P613" s="4">
        <v>663</v>
      </c>
      <c r="Q613" t="s">
        <v>339</v>
      </c>
      <c r="R613" t="str">
        <f>IF(Table3[[#This Row],[Narodowość]]&lt;&gt;"Polska","Tak","Nie")</f>
        <v>Nie</v>
      </c>
    </row>
    <row r="614" spans="1:18" x14ac:dyDescent="0.25">
      <c r="A614" t="s">
        <v>1543</v>
      </c>
      <c r="B614" t="s">
        <v>331</v>
      </c>
      <c r="C614">
        <v>22</v>
      </c>
      <c r="D614" t="s">
        <v>337</v>
      </c>
      <c r="F614">
        <v>2</v>
      </c>
      <c r="G614">
        <v>2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2</v>
      </c>
      <c r="N614">
        <v>0</v>
      </c>
      <c r="O614" s="2" t="s">
        <v>2314</v>
      </c>
      <c r="P614" s="4">
        <v>2</v>
      </c>
      <c r="Q614" t="s">
        <v>23</v>
      </c>
      <c r="R614" t="str">
        <f>IF(Table3[[#This Row],[Narodowość]]&lt;&gt;"Polska","Tak","Nie")</f>
        <v>Nie</v>
      </c>
    </row>
    <row r="615" spans="1:18" x14ac:dyDescent="0.25">
      <c r="A615" t="s">
        <v>486</v>
      </c>
      <c r="B615" t="s">
        <v>330</v>
      </c>
      <c r="C615">
        <v>27</v>
      </c>
      <c r="D615" t="s">
        <v>337</v>
      </c>
      <c r="F615">
        <v>33</v>
      </c>
      <c r="G615">
        <v>21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5</v>
      </c>
      <c r="N615">
        <v>11</v>
      </c>
      <c r="O615" s="2" t="s">
        <v>2326</v>
      </c>
      <c r="P615" s="4">
        <v>1259</v>
      </c>
      <c r="Q615" t="s">
        <v>334</v>
      </c>
      <c r="R615" t="str">
        <f>IF(Table3[[#This Row],[Narodowość]]&lt;&gt;"Polska","Tak","Nie")</f>
        <v>Nie</v>
      </c>
    </row>
    <row r="616" spans="1:18" x14ac:dyDescent="0.25">
      <c r="A616" t="s">
        <v>1751</v>
      </c>
      <c r="B616" t="s">
        <v>1752</v>
      </c>
      <c r="C616">
        <v>17</v>
      </c>
      <c r="D616" t="s">
        <v>337</v>
      </c>
      <c r="F616">
        <v>1</v>
      </c>
      <c r="G616">
        <v>1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 s="2" t="s">
        <v>2291</v>
      </c>
      <c r="P616" s="4">
        <v>21</v>
      </c>
      <c r="Q616" t="s">
        <v>361</v>
      </c>
      <c r="R616" t="str">
        <f>IF(Table3[[#This Row],[Narodowość]]&lt;&gt;"Polska","Tak","Nie")</f>
        <v>Nie</v>
      </c>
    </row>
    <row r="617" spans="1:18" x14ac:dyDescent="0.25">
      <c r="A617" t="s">
        <v>371</v>
      </c>
      <c r="B617" t="s">
        <v>325</v>
      </c>
      <c r="C617">
        <v>29</v>
      </c>
      <c r="D617" t="s">
        <v>336</v>
      </c>
      <c r="F617">
        <v>29</v>
      </c>
      <c r="G617">
        <v>27</v>
      </c>
      <c r="H617">
        <v>5</v>
      </c>
      <c r="I617">
        <v>2</v>
      </c>
      <c r="J617">
        <v>5</v>
      </c>
      <c r="K617">
        <v>1</v>
      </c>
      <c r="L617">
        <v>0</v>
      </c>
      <c r="M617">
        <v>14</v>
      </c>
      <c r="N617">
        <v>10</v>
      </c>
      <c r="O617" s="2" t="s">
        <v>2307</v>
      </c>
      <c r="P617" s="4">
        <v>1246</v>
      </c>
      <c r="Q617" t="s">
        <v>318</v>
      </c>
      <c r="R617" t="str">
        <f>IF(Table3[[#This Row],[Narodowość]]&lt;&gt;"Polska","Tak","Nie")</f>
        <v>Tak</v>
      </c>
    </row>
    <row r="618" spans="1:18" x14ac:dyDescent="0.25">
      <c r="A618" t="s">
        <v>1860</v>
      </c>
      <c r="B618" t="s">
        <v>325</v>
      </c>
      <c r="C618">
        <v>19</v>
      </c>
      <c r="D618" t="s">
        <v>337</v>
      </c>
      <c r="F618">
        <v>1</v>
      </c>
      <c r="G618">
        <v>1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 s="2" t="s">
        <v>2296</v>
      </c>
      <c r="P618" s="4">
        <v>1</v>
      </c>
      <c r="Q618" t="s">
        <v>340</v>
      </c>
      <c r="R618" t="str">
        <f>IF(Table3[[#This Row],[Narodowość]]&lt;&gt;"Polska","Tak","Nie")</f>
        <v>Nie</v>
      </c>
    </row>
    <row r="619" spans="1:18" x14ac:dyDescent="0.25">
      <c r="A619" t="s">
        <v>446</v>
      </c>
      <c r="B619" t="s">
        <v>382</v>
      </c>
      <c r="C619">
        <v>28</v>
      </c>
      <c r="D619" t="s">
        <v>337</v>
      </c>
      <c r="F619">
        <v>33</v>
      </c>
      <c r="G619">
        <v>33</v>
      </c>
      <c r="H619">
        <v>2</v>
      </c>
      <c r="I619">
        <v>0</v>
      </c>
      <c r="J619">
        <v>6</v>
      </c>
      <c r="K619">
        <v>0</v>
      </c>
      <c r="L619">
        <v>0</v>
      </c>
      <c r="M619">
        <v>0</v>
      </c>
      <c r="N619">
        <v>3</v>
      </c>
      <c r="O619" s="2" t="s">
        <v>2284</v>
      </c>
      <c r="P619" s="4">
        <v>2783</v>
      </c>
      <c r="Q619" t="s">
        <v>317</v>
      </c>
      <c r="R619" t="str">
        <f>IF(Table3[[#This Row],[Narodowość]]&lt;&gt;"Polska","Tak","Nie")</f>
        <v>Nie</v>
      </c>
    </row>
    <row r="620" spans="1:18" x14ac:dyDescent="0.25">
      <c r="A620" t="s">
        <v>435</v>
      </c>
      <c r="B620" t="s">
        <v>331</v>
      </c>
      <c r="C620">
        <v>28</v>
      </c>
      <c r="D620" t="s">
        <v>337</v>
      </c>
      <c r="F620">
        <v>24</v>
      </c>
      <c r="G620">
        <v>22</v>
      </c>
      <c r="H620">
        <v>1</v>
      </c>
      <c r="I620">
        <v>2</v>
      </c>
      <c r="J620">
        <v>3</v>
      </c>
      <c r="K620">
        <v>0</v>
      </c>
      <c r="L620">
        <v>0</v>
      </c>
      <c r="M620">
        <v>12</v>
      </c>
      <c r="N620">
        <v>8</v>
      </c>
      <c r="O620" s="2" t="s">
        <v>2322</v>
      </c>
      <c r="P620" s="4">
        <v>1050</v>
      </c>
      <c r="Q620" t="s">
        <v>341</v>
      </c>
      <c r="R620" t="str">
        <f>IF(Table3[[#This Row],[Narodowość]]&lt;&gt;"Polska","Tak","Nie")</f>
        <v>Nie</v>
      </c>
    </row>
    <row r="621" spans="1:18" x14ac:dyDescent="0.25">
      <c r="A621" t="s">
        <v>439</v>
      </c>
      <c r="B621" t="s">
        <v>330</v>
      </c>
      <c r="C621">
        <v>24</v>
      </c>
      <c r="D621" t="s">
        <v>337</v>
      </c>
      <c r="F621">
        <v>19</v>
      </c>
      <c r="G621">
        <v>13</v>
      </c>
      <c r="H621">
        <v>1</v>
      </c>
      <c r="I621">
        <v>2</v>
      </c>
      <c r="J621">
        <v>2</v>
      </c>
      <c r="K621">
        <v>0</v>
      </c>
      <c r="L621">
        <v>0</v>
      </c>
      <c r="M621">
        <v>7</v>
      </c>
      <c r="N621">
        <v>6</v>
      </c>
      <c r="O621" s="2" t="s">
        <v>2374</v>
      </c>
      <c r="P621" s="4">
        <v>556</v>
      </c>
      <c r="Q621" t="s">
        <v>345</v>
      </c>
      <c r="R621" t="str">
        <f>IF(Table3[[#This Row],[Narodowość]]&lt;&gt;"Polska","Tak","Nie")</f>
        <v>Nie</v>
      </c>
    </row>
    <row r="622" spans="1:18" x14ac:dyDescent="0.25">
      <c r="A622" t="s">
        <v>535</v>
      </c>
      <c r="B622" t="s">
        <v>357</v>
      </c>
      <c r="C622">
        <v>29</v>
      </c>
      <c r="D622" t="s">
        <v>337</v>
      </c>
      <c r="F622">
        <v>32</v>
      </c>
      <c r="G622">
        <v>29</v>
      </c>
      <c r="H622">
        <v>0</v>
      </c>
      <c r="I622">
        <v>1</v>
      </c>
      <c r="J622">
        <v>1</v>
      </c>
      <c r="K622">
        <v>0</v>
      </c>
      <c r="L622">
        <v>0</v>
      </c>
      <c r="M622">
        <v>14</v>
      </c>
      <c r="N622">
        <v>4</v>
      </c>
      <c r="O622" s="2" t="s">
        <v>2356</v>
      </c>
      <c r="P622" s="4">
        <v>1540</v>
      </c>
      <c r="Q622" t="s">
        <v>338</v>
      </c>
      <c r="R622" t="str">
        <f>IF(Table3[[#This Row],[Narodowość]]&lt;&gt;"Polska","Tak","Nie")</f>
        <v>Nie</v>
      </c>
    </row>
    <row r="623" spans="1:18" x14ac:dyDescent="0.25">
      <c r="A623" t="s">
        <v>1865</v>
      </c>
      <c r="B623" t="s">
        <v>0</v>
      </c>
      <c r="C623">
        <v>22</v>
      </c>
      <c r="D623" t="s">
        <v>337</v>
      </c>
      <c r="F623">
        <v>29</v>
      </c>
      <c r="G623">
        <v>26</v>
      </c>
      <c r="H623">
        <v>0</v>
      </c>
      <c r="I623">
        <v>0</v>
      </c>
      <c r="J623">
        <v>3</v>
      </c>
      <c r="K623">
        <v>0</v>
      </c>
      <c r="L623">
        <v>0</v>
      </c>
      <c r="M623">
        <v>0</v>
      </c>
      <c r="N623">
        <v>0</v>
      </c>
      <c r="O623" s="2" t="s">
        <v>2381</v>
      </c>
      <c r="P623" s="4">
        <v>2340</v>
      </c>
      <c r="Q623" t="s">
        <v>319</v>
      </c>
      <c r="R623" t="str">
        <f>IF(Table3[[#This Row],[Narodowość]]&lt;&gt;"Polska","Tak","Nie")</f>
        <v>Nie</v>
      </c>
    </row>
    <row r="624" spans="1:18" x14ac:dyDescent="0.25">
      <c r="A624" t="s">
        <v>351</v>
      </c>
      <c r="B624" t="s">
        <v>324</v>
      </c>
      <c r="C624">
        <v>28</v>
      </c>
      <c r="D624" t="s">
        <v>337</v>
      </c>
      <c r="F624">
        <v>27</v>
      </c>
      <c r="G624">
        <v>26</v>
      </c>
      <c r="H624">
        <v>4</v>
      </c>
      <c r="I624">
        <v>7</v>
      </c>
      <c r="J624">
        <v>6</v>
      </c>
      <c r="K624">
        <v>0</v>
      </c>
      <c r="L624">
        <v>0</v>
      </c>
      <c r="M624">
        <v>3</v>
      </c>
      <c r="N624">
        <v>18</v>
      </c>
      <c r="O624" s="2" t="s">
        <v>2383</v>
      </c>
      <c r="P624" s="4">
        <v>1726</v>
      </c>
      <c r="Q624" t="s">
        <v>339</v>
      </c>
      <c r="R624" t="str">
        <f>IF(Table3[[#This Row],[Narodowość]]&lt;&gt;"Polska","Tak","Nie")</f>
        <v>Nie</v>
      </c>
    </row>
    <row r="625" spans="1:18" x14ac:dyDescent="0.25">
      <c r="A625" t="s">
        <v>737</v>
      </c>
      <c r="B625" t="s">
        <v>325</v>
      </c>
      <c r="C625">
        <v>17</v>
      </c>
      <c r="D625" t="s">
        <v>499</v>
      </c>
      <c r="F625">
        <v>1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 s="2">
        <v>0</v>
      </c>
      <c r="P625" s="4">
        <v>0</v>
      </c>
      <c r="Q625" t="s">
        <v>318</v>
      </c>
      <c r="R625" t="str">
        <f>IF(Table3[[#This Row],[Narodowość]]&lt;&gt;"Polska","Tak","Nie")</f>
        <v>Tak</v>
      </c>
    </row>
    <row r="626" spans="1:18" x14ac:dyDescent="0.25">
      <c r="A626" t="s">
        <v>178</v>
      </c>
      <c r="B626" t="s">
        <v>382</v>
      </c>
      <c r="C626">
        <v>30</v>
      </c>
      <c r="D626" t="s">
        <v>370</v>
      </c>
      <c r="E626" t="s">
        <v>390</v>
      </c>
      <c r="F626">
        <v>32</v>
      </c>
      <c r="G626">
        <v>32</v>
      </c>
      <c r="H626">
        <v>2</v>
      </c>
      <c r="I626">
        <v>0</v>
      </c>
      <c r="J626">
        <v>6</v>
      </c>
      <c r="K626">
        <v>0</v>
      </c>
      <c r="L626">
        <v>0</v>
      </c>
      <c r="M626">
        <v>1</v>
      </c>
      <c r="N626">
        <v>0</v>
      </c>
      <c r="O626" s="2" t="s">
        <v>2384</v>
      </c>
      <c r="P626" s="4">
        <v>2856</v>
      </c>
      <c r="Q626" t="s">
        <v>315</v>
      </c>
      <c r="R626" t="str">
        <f>IF(Table3[[#This Row],[Narodowość]]&lt;&gt;"Polska","Tak","Nie")</f>
        <v>Tak</v>
      </c>
    </row>
    <row r="627" spans="1:18" x14ac:dyDescent="0.25">
      <c r="A627" t="s">
        <v>153</v>
      </c>
      <c r="B627" t="s">
        <v>325</v>
      </c>
      <c r="C627">
        <v>25</v>
      </c>
      <c r="D627" t="s">
        <v>533</v>
      </c>
      <c r="F627">
        <v>9</v>
      </c>
      <c r="G627">
        <v>8</v>
      </c>
      <c r="H627">
        <v>0</v>
      </c>
      <c r="I627">
        <v>1</v>
      </c>
      <c r="J627">
        <v>1</v>
      </c>
      <c r="K627">
        <v>0</v>
      </c>
      <c r="L627">
        <v>0</v>
      </c>
      <c r="M627">
        <v>3</v>
      </c>
      <c r="N627">
        <v>5</v>
      </c>
      <c r="O627" s="2" t="s">
        <v>2343</v>
      </c>
      <c r="P627" s="4">
        <v>370</v>
      </c>
      <c r="Q627" t="s">
        <v>344</v>
      </c>
      <c r="R627" t="str">
        <f>IF(Table3[[#This Row],[Narodowość]]&lt;&gt;"Polska","Tak","Nie")</f>
        <v>Tak</v>
      </c>
    </row>
    <row r="628" spans="1:18" x14ac:dyDescent="0.25">
      <c r="A628" t="s">
        <v>184</v>
      </c>
      <c r="B628" t="s">
        <v>324</v>
      </c>
      <c r="C628">
        <v>21</v>
      </c>
      <c r="D628" t="s">
        <v>370</v>
      </c>
      <c r="F628">
        <v>11</v>
      </c>
      <c r="G628">
        <v>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5</v>
      </c>
      <c r="N628">
        <v>0</v>
      </c>
      <c r="O628" s="2" t="s">
        <v>2290</v>
      </c>
      <c r="P628" s="4">
        <v>79</v>
      </c>
      <c r="Q628" t="s">
        <v>315</v>
      </c>
      <c r="R628" t="str">
        <f>IF(Table3[[#This Row],[Narodowość]]&lt;&gt;"Polska","Tak","Nie")</f>
        <v>Tak</v>
      </c>
    </row>
    <row r="629" spans="1:18" x14ac:dyDescent="0.25">
      <c r="A629" t="s">
        <v>126</v>
      </c>
      <c r="B629" t="s">
        <v>0</v>
      </c>
      <c r="C629">
        <v>28</v>
      </c>
      <c r="D629" t="s">
        <v>384</v>
      </c>
      <c r="F629">
        <v>10</v>
      </c>
      <c r="G629">
        <v>5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 s="2" t="s">
        <v>2280</v>
      </c>
      <c r="P629" s="4">
        <v>450</v>
      </c>
      <c r="Q629" t="s">
        <v>318</v>
      </c>
      <c r="R629" t="str">
        <f>IF(Table3[[#This Row],[Narodowość]]&lt;&gt;"Polska","Tak","Nie")</f>
        <v>Tak</v>
      </c>
    </row>
    <row r="630" spans="1:18" x14ac:dyDescent="0.25">
      <c r="A630" t="s">
        <v>44</v>
      </c>
      <c r="B630" t="s">
        <v>325</v>
      </c>
      <c r="C630">
        <v>26</v>
      </c>
      <c r="D630" t="s">
        <v>370</v>
      </c>
      <c r="E630" t="s">
        <v>333</v>
      </c>
      <c r="F630">
        <v>23</v>
      </c>
      <c r="G630">
        <v>19</v>
      </c>
      <c r="H630">
        <v>1</v>
      </c>
      <c r="I630">
        <v>1</v>
      </c>
      <c r="J630">
        <v>1</v>
      </c>
      <c r="K630">
        <v>0</v>
      </c>
      <c r="L630">
        <v>0</v>
      </c>
      <c r="M630">
        <v>12</v>
      </c>
      <c r="N630">
        <v>6</v>
      </c>
      <c r="O630" s="2" t="s">
        <v>2285</v>
      </c>
      <c r="P630" s="4">
        <v>796</v>
      </c>
      <c r="Q630" t="s">
        <v>23</v>
      </c>
      <c r="R630" t="str">
        <f>IF(Table3[[#This Row],[Narodowość]]&lt;&gt;"Polska","Tak","Nie")</f>
        <v>Tak</v>
      </c>
    </row>
    <row r="631" spans="1:18" x14ac:dyDescent="0.25">
      <c r="A631" t="s">
        <v>63</v>
      </c>
      <c r="B631" t="s">
        <v>324</v>
      </c>
      <c r="C631">
        <v>24</v>
      </c>
      <c r="D631" t="s">
        <v>337</v>
      </c>
      <c r="F631">
        <v>33</v>
      </c>
      <c r="G631">
        <v>32</v>
      </c>
      <c r="H631">
        <v>3</v>
      </c>
      <c r="I631">
        <v>5</v>
      </c>
      <c r="J631">
        <v>5</v>
      </c>
      <c r="K631">
        <v>0</v>
      </c>
      <c r="L631">
        <v>0</v>
      </c>
      <c r="M631">
        <v>4</v>
      </c>
      <c r="N631">
        <v>13</v>
      </c>
      <c r="O631" s="2" t="s">
        <v>2397</v>
      </c>
      <c r="P631" s="4">
        <v>2351</v>
      </c>
      <c r="Q631" t="s">
        <v>317</v>
      </c>
      <c r="R631" t="str">
        <f>IF(Table3[[#This Row],[Narodowość]]&lt;&gt;"Polska","Tak","Nie")</f>
        <v>Nie</v>
      </c>
    </row>
    <row r="632" spans="1:18" x14ac:dyDescent="0.25">
      <c r="A632" t="s">
        <v>244</v>
      </c>
      <c r="B632" t="s">
        <v>382</v>
      </c>
      <c r="C632">
        <v>26</v>
      </c>
      <c r="D632" t="s">
        <v>436</v>
      </c>
      <c r="F632">
        <v>31</v>
      </c>
      <c r="G632">
        <v>31</v>
      </c>
      <c r="H632">
        <v>1</v>
      </c>
      <c r="I632">
        <v>2</v>
      </c>
      <c r="J632">
        <v>6</v>
      </c>
      <c r="K632">
        <v>0</v>
      </c>
      <c r="L632">
        <v>0</v>
      </c>
      <c r="M632">
        <v>0</v>
      </c>
      <c r="N632">
        <v>0</v>
      </c>
      <c r="O632" s="2" t="s">
        <v>2407</v>
      </c>
      <c r="P632" s="4">
        <v>2790</v>
      </c>
      <c r="Q632" t="s">
        <v>349</v>
      </c>
      <c r="R632" t="str">
        <f>IF(Table3[[#This Row],[Narodowość]]&lt;&gt;"Polska","Tak","Nie")</f>
        <v>Tak</v>
      </c>
    </row>
    <row r="633" spans="1:18" x14ac:dyDescent="0.25">
      <c r="A633" t="s">
        <v>1480</v>
      </c>
      <c r="B633" t="s">
        <v>330</v>
      </c>
      <c r="C633">
        <v>21</v>
      </c>
      <c r="D633" t="s">
        <v>337</v>
      </c>
      <c r="F633">
        <v>1</v>
      </c>
      <c r="G633">
        <v>1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 s="2" t="s">
        <v>2291</v>
      </c>
      <c r="P633" s="4">
        <v>3</v>
      </c>
      <c r="Q633" t="s">
        <v>23</v>
      </c>
      <c r="R633" t="str">
        <f>IF(Table3[[#This Row],[Narodowość]]&lt;&gt;"Polska","Tak","Nie")</f>
        <v>Nie</v>
      </c>
    </row>
    <row r="634" spans="1:18" x14ac:dyDescent="0.25">
      <c r="A634" t="s">
        <v>233</v>
      </c>
      <c r="B634" t="s">
        <v>324</v>
      </c>
      <c r="C634">
        <v>32</v>
      </c>
      <c r="D634" t="s">
        <v>350</v>
      </c>
      <c r="F634">
        <v>32</v>
      </c>
      <c r="G634">
        <v>32</v>
      </c>
      <c r="H634">
        <v>6</v>
      </c>
      <c r="I634">
        <v>1</v>
      </c>
      <c r="J634">
        <v>0</v>
      </c>
      <c r="K634">
        <v>0</v>
      </c>
      <c r="L634">
        <v>0</v>
      </c>
      <c r="M634">
        <v>10</v>
      </c>
      <c r="N634">
        <v>18</v>
      </c>
      <c r="O634" s="2" t="s">
        <v>2432</v>
      </c>
      <c r="P634" s="4">
        <v>2020</v>
      </c>
      <c r="Q634" t="s">
        <v>345</v>
      </c>
      <c r="R634" t="str">
        <f>IF(Table3[[#This Row],[Narodowość]]&lt;&gt;"Polska","Tak","Nie")</f>
        <v>Tak</v>
      </c>
    </row>
    <row r="635" spans="1:18" x14ac:dyDescent="0.25">
      <c r="A635" t="s">
        <v>822</v>
      </c>
      <c r="B635" t="s">
        <v>325</v>
      </c>
      <c r="C635">
        <v>21</v>
      </c>
      <c r="D635" t="s">
        <v>364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 s="2">
        <v>0</v>
      </c>
      <c r="P635" s="4">
        <v>0</v>
      </c>
      <c r="Q635" t="s">
        <v>334</v>
      </c>
      <c r="R635" t="str">
        <f>IF(Table3[[#This Row],[Narodowość]]&lt;&gt;"Polska","Tak","Nie")</f>
        <v>Tak</v>
      </c>
    </row>
    <row r="636" spans="1:18" x14ac:dyDescent="0.25">
      <c r="A636" t="s">
        <v>21</v>
      </c>
      <c r="B636" t="s">
        <v>328</v>
      </c>
      <c r="C636">
        <v>31</v>
      </c>
      <c r="D636" t="s">
        <v>401</v>
      </c>
      <c r="F636">
        <v>5</v>
      </c>
      <c r="G636">
        <v>4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4</v>
      </c>
      <c r="N636">
        <v>0</v>
      </c>
      <c r="O636" s="2" t="s">
        <v>2301</v>
      </c>
      <c r="P636" s="4">
        <v>41</v>
      </c>
      <c r="Q636" t="s">
        <v>316</v>
      </c>
      <c r="R636" t="str">
        <f>IF(Table3[[#This Row],[Narodowość]]&lt;&gt;"Polska","Tak","Nie")</f>
        <v>Tak</v>
      </c>
    </row>
    <row r="637" spans="1:18" x14ac:dyDescent="0.25">
      <c r="A637" t="s">
        <v>13</v>
      </c>
      <c r="B637" t="s">
        <v>325</v>
      </c>
      <c r="C637">
        <v>33</v>
      </c>
      <c r="D637" t="s">
        <v>350</v>
      </c>
      <c r="F637">
        <v>21</v>
      </c>
      <c r="G637">
        <v>19</v>
      </c>
      <c r="H637">
        <v>0</v>
      </c>
      <c r="I637">
        <v>2</v>
      </c>
      <c r="J637">
        <v>1</v>
      </c>
      <c r="K637">
        <v>0</v>
      </c>
      <c r="L637">
        <v>0</v>
      </c>
      <c r="M637">
        <v>8</v>
      </c>
      <c r="N637">
        <v>9</v>
      </c>
      <c r="O637" s="2" t="s">
        <v>2434</v>
      </c>
      <c r="P637" s="4">
        <v>937</v>
      </c>
      <c r="Q637" t="s">
        <v>316</v>
      </c>
      <c r="R637" t="str">
        <f>IF(Table3[[#This Row],[Narodowość]]&lt;&gt;"Polska","Tak","Nie")</f>
        <v>Tak</v>
      </c>
    </row>
    <row r="638" spans="1:18" x14ac:dyDescent="0.25">
      <c r="A638" t="s">
        <v>2232</v>
      </c>
      <c r="B638" t="s">
        <v>357</v>
      </c>
      <c r="C638">
        <v>27</v>
      </c>
      <c r="D638" t="s">
        <v>333</v>
      </c>
      <c r="F638">
        <v>8</v>
      </c>
      <c r="G638">
        <v>3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2</v>
      </c>
      <c r="O638" s="2" t="s">
        <v>2368</v>
      </c>
      <c r="P638" s="4">
        <v>195</v>
      </c>
      <c r="Q638" t="s">
        <v>348</v>
      </c>
      <c r="R638" t="str">
        <f>IF(Table3[[#This Row],[Narodowość]]&lt;&gt;"Polska","Tak","Nie")</f>
        <v>Tak</v>
      </c>
    </row>
    <row r="639" spans="1:18" x14ac:dyDescent="0.25">
      <c r="A639" t="s">
        <v>703</v>
      </c>
      <c r="B639" t="s">
        <v>326</v>
      </c>
      <c r="C639">
        <v>23</v>
      </c>
      <c r="D639" t="s">
        <v>336</v>
      </c>
      <c r="F639">
        <v>1</v>
      </c>
      <c r="G639">
        <v>1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 s="2" t="s">
        <v>2291</v>
      </c>
      <c r="P639" s="4">
        <v>44</v>
      </c>
      <c r="Q639" t="s">
        <v>318</v>
      </c>
      <c r="R639" t="str">
        <f>IF(Table3[[#This Row],[Narodowość]]&lt;&gt;"Polska","Tak","Nie")</f>
        <v>Tak</v>
      </c>
    </row>
    <row r="640" spans="1:18" x14ac:dyDescent="0.25">
      <c r="A640" t="s">
        <v>18</v>
      </c>
      <c r="B640" t="s">
        <v>324</v>
      </c>
      <c r="C640">
        <v>29</v>
      </c>
      <c r="D640" t="s">
        <v>350</v>
      </c>
      <c r="F640">
        <v>33</v>
      </c>
      <c r="G640">
        <v>30</v>
      </c>
      <c r="H640">
        <v>1</v>
      </c>
      <c r="I640">
        <v>4</v>
      </c>
      <c r="J640">
        <v>2</v>
      </c>
      <c r="K640">
        <v>0</v>
      </c>
      <c r="L640">
        <v>0</v>
      </c>
      <c r="M640">
        <v>10</v>
      </c>
      <c r="N640">
        <v>15</v>
      </c>
      <c r="O640" s="2" t="s">
        <v>2432</v>
      </c>
      <c r="P640" s="4">
        <v>1807</v>
      </c>
      <c r="Q640" t="s">
        <v>316</v>
      </c>
      <c r="R640" t="str">
        <f>IF(Table3[[#This Row],[Narodowość]]&lt;&gt;"Polska","Tak","Nie")</f>
        <v>Tak</v>
      </c>
    </row>
    <row r="641" spans="1:18" x14ac:dyDescent="0.25">
      <c r="A641" t="s">
        <v>1796</v>
      </c>
      <c r="B641" t="s">
        <v>382</v>
      </c>
      <c r="C641">
        <v>31</v>
      </c>
      <c r="D641" t="s">
        <v>490</v>
      </c>
      <c r="E641" t="s">
        <v>364</v>
      </c>
      <c r="F641">
        <v>24</v>
      </c>
      <c r="G641">
        <v>20</v>
      </c>
      <c r="H641">
        <v>0</v>
      </c>
      <c r="I641">
        <v>0</v>
      </c>
      <c r="J641">
        <v>6</v>
      </c>
      <c r="K641">
        <v>0</v>
      </c>
      <c r="L641">
        <v>1</v>
      </c>
      <c r="M641">
        <v>5</v>
      </c>
      <c r="N641">
        <v>7</v>
      </c>
      <c r="O641" s="2" t="s">
        <v>2389</v>
      </c>
      <c r="P641" s="4">
        <v>1179</v>
      </c>
      <c r="Q641" t="s">
        <v>340</v>
      </c>
      <c r="R641" t="str">
        <f>IF(Table3[[#This Row],[Narodowość]]&lt;&gt;"Polska","Tak","Nie")</f>
        <v>Tak</v>
      </c>
    </row>
    <row r="642" spans="1:18" x14ac:dyDescent="0.25">
      <c r="A642" t="s">
        <v>297</v>
      </c>
      <c r="B642" t="s">
        <v>326</v>
      </c>
      <c r="C642">
        <v>30</v>
      </c>
      <c r="D642" t="s">
        <v>342</v>
      </c>
      <c r="F642">
        <v>20</v>
      </c>
      <c r="G642">
        <v>18</v>
      </c>
      <c r="H642">
        <v>2</v>
      </c>
      <c r="I642">
        <v>1</v>
      </c>
      <c r="J642">
        <v>1</v>
      </c>
      <c r="K642">
        <v>0</v>
      </c>
      <c r="L642">
        <v>0</v>
      </c>
      <c r="M642">
        <v>9</v>
      </c>
      <c r="N642">
        <v>6</v>
      </c>
      <c r="O642" s="2" t="s">
        <v>2425</v>
      </c>
      <c r="P642" s="4">
        <v>834</v>
      </c>
      <c r="Q642" t="s">
        <v>340</v>
      </c>
      <c r="R642" t="str">
        <f>IF(Table3[[#This Row],[Narodowość]]&lt;&gt;"Polska","Tak","Nie")</f>
        <v>Tak</v>
      </c>
    </row>
    <row r="643" spans="1:18" x14ac:dyDescent="0.25">
      <c r="A643" t="s">
        <v>238</v>
      </c>
      <c r="B643" t="s">
        <v>325</v>
      </c>
      <c r="C643">
        <v>21</v>
      </c>
      <c r="D643" t="s">
        <v>337</v>
      </c>
      <c r="F643">
        <v>5</v>
      </c>
      <c r="G643">
        <v>2</v>
      </c>
      <c r="H643">
        <v>0</v>
      </c>
      <c r="I643">
        <v>0</v>
      </c>
      <c r="J643">
        <v>1</v>
      </c>
      <c r="K643">
        <v>0</v>
      </c>
      <c r="L643">
        <v>0</v>
      </c>
      <c r="M643">
        <v>2</v>
      </c>
      <c r="N643">
        <v>0</v>
      </c>
      <c r="O643" s="2" t="s">
        <v>2283</v>
      </c>
      <c r="P643" s="4">
        <v>54</v>
      </c>
      <c r="Q643" t="s">
        <v>345</v>
      </c>
      <c r="R643" t="str">
        <f>IF(Table3[[#This Row],[Narodowość]]&lt;&gt;"Polska","Tak","Nie")</f>
        <v>Nie</v>
      </c>
    </row>
    <row r="644" spans="1:18" x14ac:dyDescent="0.25">
      <c r="A644" t="s">
        <v>12</v>
      </c>
      <c r="B644" t="s">
        <v>331</v>
      </c>
      <c r="C644">
        <v>26</v>
      </c>
      <c r="D644" t="s">
        <v>337</v>
      </c>
      <c r="F644">
        <v>30</v>
      </c>
      <c r="G644">
        <v>21</v>
      </c>
      <c r="H644">
        <v>0</v>
      </c>
      <c r="I644">
        <v>0</v>
      </c>
      <c r="J644">
        <v>3</v>
      </c>
      <c r="K644">
        <v>0</v>
      </c>
      <c r="L644">
        <v>0</v>
      </c>
      <c r="M644">
        <v>13</v>
      </c>
      <c r="N644">
        <v>5</v>
      </c>
      <c r="O644" s="2" t="s">
        <v>2420</v>
      </c>
      <c r="P644" s="4">
        <v>810</v>
      </c>
      <c r="Q644" t="s">
        <v>316</v>
      </c>
      <c r="R644" t="str">
        <f>IF(Table3[[#This Row],[Narodowość]]&lt;&gt;"Polska","Tak","Nie")</f>
        <v>Nie</v>
      </c>
    </row>
    <row r="645" spans="1:18" x14ac:dyDescent="0.25">
      <c r="A645" t="s">
        <v>166</v>
      </c>
      <c r="B645" t="s">
        <v>324</v>
      </c>
      <c r="C645">
        <v>22</v>
      </c>
      <c r="D645" t="s">
        <v>337</v>
      </c>
      <c r="F645">
        <v>32</v>
      </c>
      <c r="G645">
        <v>30</v>
      </c>
      <c r="H645">
        <v>6</v>
      </c>
      <c r="I645">
        <v>4</v>
      </c>
      <c r="J645">
        <v>4</v>
      </c>
      <c r="K645">
        <v>0</v>
      </c>
      <c r="L645">
        <v>0</v>
      </c>
      <c r="M645">
        <v>5</v>
      </c>
      <c r="N645">
        <v>17</v>
      </c>
      <c r="O645" s="2" t="s">
        <v>2293</v>
      </c>
      <c r="P645" s="4">
        <v>1991</v>
      </c>
      <c r="Q645" t="s">
        <v>341</v>
      </c>
      <c r="R645" t="str">
        <f>IF(Table3[[#This Row],[Narodowość]]&lt;&gt;"Polska","Tak","Nie")</f>
        <v>Nie</v>
      </c>
    </row>
    <row r="646" spans="1:18" x14ac:dyDescent="0.25">
      <c r="A646" t="s">
        <v>203</v>
      </c>
      <c r="B646" t="s">
        <v>325</v>
      </c>
      <c r="C646">
        <v>25</v>
      </c>
      <c r="D646" t="s">
        <v>337</v>
      </c>
      <c r="F646">
        <v>32</v>
      </c>
      <c r="G646">
        <v>29</v>
      </c>
      <c r="H646">
        <v>3</v>
      </c>
      <c r="I646">
        <v>0</v>
      </c>
      <c r="J646">
        <v>1</v>
      </c>
      <c r="K646">
        <v>0</v>
      </c>
      <c r="L646">
        <v>0</v>
      </c>
      <c r="M646">
        <v>17</v>
      </c>
      <c r="N646">
        <v>11</v>
      </c>
      <c r="O646" s="2" t="s">
        <v>2314</v>
      </c>
      <c r="P646" s="4">
        <v>943</v>
      </c>
      <c r="Q646" t="s">
        <v>332</v>
      </c>
      <c r="R646" t="str">
        <f>IF(Table3[[#This Row],[Narodowość]]&lt;&gt;"Polska","Tak","Nie")</f>
        <v>Nie</v>
      </c>
    </row>
    <row r="647" spans="1:18" x14ac:dyDescent="0.25">
      <c r="A647" t="s">
        <v>259</v>
      </c>
      <c r="B647" t="s">
        <v>357</v>
      </c>
      <c r="C647">
        <v>26</v>
      </c>
      <c r="D647" t="s">
        <v>335</v>
      </c>
      <c r="F647">
        <v>13</v>
      </c>
      <c r="G647">
        <v>6</v>
      </c>
      <c r="H647">
        <v>1</v>
      </c>
      <c r="I647">
        <v>0</v>
      </c>
      <c r="J647">
        <v>1</v>
      </c>
      <c r="K647">
        <v>0</v>
      </c>
      <c r="L647">
        <v>0</v>
      </c>
      <c r="M647">
        <v>3</v>
      </c>
      <c r="N647">
        <v>1</v>
      </c>
      <c r="O647" s="2" t="s">
        <v>2440</v>
      </c>
      <c r="P647" s="4">
        <v>288</v>
      </c>
      <c r="Q647" t="s">
        <v>383</v>
      </c>
      <c r="R647" t="str">
        <f>IF(Table3[[#This Row],[Narodowość]]&lt;&gt;"Polska","Tak","Nie")</f>
        <v>Tak</v>
      </c>
    </row>
    <row r="648" spans="1:18" x14ac:dyDescent="0.25">
      <c r="A648" t="s">
        <v>262</v>
      </c>
      <c r="B648" t="s">
        <v>382</v>
      </c>
      <c r="C648">
        <v>22</v>
      </c>
      <c r="D648" t="s">
        <v>337</v>
      </c>
      <c r="F648">
        <v>31</v>
      </c>
      <c r="G648">
        <v>15</v>
      </c>
      <c r="H648">
        <v>1</v>
      </c>
      <c r="I648">
        <v>0</v>
      </c>
      <c r="J648">
        <v>3</v>
      </c>
      <c r="K648">
        <v>1</v>
      </c>
      <c r="L648">
        <v>0</v>
      </c>
      <c r="M648">
        <v>3</v>
      </c>
      <c r="N648">
        <v>2</v>
      </c>
      <c r="O648" s="2" t="s">
        <v>2412</v>
      </c>
      <c r="P648" s="4">
        <v>1148</v>
      </c>
      <c r="Q648" t="s">
        <v>383</v>
      </c>
      <c r="R648" t="str">
        <f>IF(Table3[[#This Row],[Narodowość]]&lt;&gt;"Polska","Tak","Nie")</f>
        <v>Nie</v>
      </c>
    </row>
    <row r="649" spans="1:18" x14ac:dyDescent="0.25">
      <c r="A649" t="s">
        <v>34</v>
      </c>
      <c r="B649" t="s">
        <v>328</v>
      </c>
      <c r="C649">
        <v>29</v>
      </c>
      <c r="D649" t="s">
        <v>366</v>
      </c>
      <c r="F649">
        <v>32</v>
      </c>
      <c r="G649">
        <v>31</v>
      </c>
      <c r="H649">
        <v>4</v>
      </c>
      <c r="I649">
        <v>5</v>
      </c>
      <c r="J649">
        <v>6</v>
      </c>
      <c r="K649">
        <v>1</v>
      </c>
      <c r="L649">
        <v>0</v>
      </c>
      <c r="M649">
        <v>2</v>
      </c>
      <c r="N649">
        <v>16</v>
      </c>
      <c r="O649" s="2" t="s">
        <v>2377</v>
      </c>
      <c r="P649" s="4">
        <v>2444</v>
      </c>
      <c r="Q649" t="s">
        <v>23</v>
      </c>
      <c r="R649" t="str">
        <f>IF(Table3[[#This Row],[Narodowość]]&lt;&gt;"Polska","Tak","Nie")</f>
        <v>Tak</v>
      </c>
    </row>
    <row r="650" spans="1:18" x14ac:dyDescent="0.25">
      <c r="A650" t="s">
        <v>530</v>
      </c>
      <c r="B650" t="s">
        <v>326</v>
      </c>
      <c r="C650">
        <v>24</v>
      </c>
      <c r="D650" t="s">
        <v>430</v>
      </c>
      <c r="E650" t="s">
        <v>337</v>
      </c>
      <c r="F650">
        <v>32</v>
      </c>
      <c r="G650">
        <v>32</v>
      </c>
      <c r="H650">
        <v>0</v>
      </c>
      <c r="I650">
        <v>1</v>
      </c>
      <c r="J650">
        <v>4</v>
      </c>
      <c r="K650">
        <v>0</v>
      </c>
      <c r="L650">
        <v>0</v>
      </c>
      <c r="M650">
        <v>9</v>
      </c>
      <c r="N650">
        <v>14</v>
      </c>
      <c r="O650" s="2" t="s">
        <v>2391</v>
      </c>
      <c r="P650" s="4">
        <v>2085</v>
      </c>
      <c r="Q650" t="s">
        <v>348</v>
      </c>
      <c r="R650" t="str">
        <f>IF(Table3[[#This Row],[Narodowość]]&lt;&gt;"Polska","Tak","Nie")</f>
        <v>Tak</v>
      </c>
    </row>
    <row r="651" spans="1:18" x14ac:dyDescent="0.25">
      <c r="A651" t="s">
        <v>1292</v>
      </c>
      <c r="B651" t="s">
        <v>382</v>
      </c>
      <c r="C651">
        <v>20</v>
      </c>
      <c r="D651" t="s">
        <v>369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 s="2">
        <v>0</v>
      </c>
      <c r="P651" s="4">
        <v>0</v>
      </c>
      <c r="Q651" t="s">
        <v>315</v>
      </c>
      <c r="R651" t="str">
        <f>IF(Table3[[#This Row],[Narodowość]]&lt;&gt;"Polska","Tak","Nie")</f>
        <v>Tak</v>
      </c>
    </row>
    <row r="652" spans="1:18" x14ac:dyDescent="0.25">
      <c r="A652" t="s">
        <v>1673</v>
      </c>
      <c r="B652" t="s">
        <v>0</v>
      </c>
      <c r="C652">
        <v>17</v>
      </c>
      <c r="D652" t="s">
        <v>337</v>
      </c>
      <c r="F652">
        <v>7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 s="2">
        <v>0</v>
      </c>
      <c r="P652" s="4">
        <v>0</v>
      </c>
      <c r="Q652" t="s">
        <v>361</v>
      </c>
      <c r="R652" t="str">
        <f>IF(Table3[[#This Row],[Narodowość]]&lt;&gt;"Polska","Tak","Nie")</f>
        <v>Nie</v>
      </c>
    </row>
    <row r="653" spans="1:18" x14ac:dyDescent="0.25">
      <c r="A653" t="s">
        <v>374</v>
      </c>
      <c r="B653" t="s">
        <v>324</v>
      </c>
      <c r="C653">
        <v>27</v>
      </c>
      <c r="D653" t="s">
        <v>384</v>
      </c>
      <c r="F653">
        <v>27</v>
      </c>
      <c r="G653">
        <v>25</v>
      </c>
      <c r="H653">
        <v>3</v>
      </c>
      <c r="I653">
        <v>4</v>
      </c>
      <c r="J653">
        <v>1</v>
      </c>
      <c r="K653">
        <v>0</v>
      </c>
      <c r="L653">
        <v>0</v>
      </c>
      <c r="M653">
        <v>9</v>
      </c>
      <c r="N653">
        <v>16</v>
      </c>
      <c r="O653" s="2" t="s">
        <v>2442</v>
      </c>
      <c r="P653" s="4">
        <v>1296</v>
      </c>
      <c r="Q653" t="s">
        <v>383</v>
      </c>
      <c r="R653" t="str">
        <f>IF(Table3[[#This Row],[Narodowość]]&lt;&gt;"Polska","Tak","Nie")</f>
        <v>Tak</v>
      </c>
    </row>
    <row r="654" spans="1:18" x14ac:dyDescent="0.25">
      <c r="A654" t="s">
        <v>1395</v>
      </c>
      <c r="B654" t="s">
        <v>382</v>
      </c>
      <c r="C654">
        <v>23</v>
      </c>
      <c r="D654" t="s">
        <v>394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 s="2">
        <v>0</v>
      </c>
      <c r="P654" s="4">
        <v>0</v>
      </c>
      <c r="Q654" t="s">
        <v>317</v>
      </c>
      <c r="R654" t="str">
        <f>IF(Table3[[#This Row],[Narodowość]]&lt;&gt;"Polska","Tak","Nie")</f>
        <v>Tak</v>
      </c>
    </row>
    <row r="655" spans="1:18" x14ac:dyDescent="0.25">
      <c r="A655" t="s">
        <v>38</v>
      </c>
      <c r="B655" t="s">
        <v>331</v>
      </c>
      <c r="C655">
        <v>21</v>
      </c>
      <c r="D655" t="s">
        <v>337</v>
      </c>
      <c r="F655">
        <v>33</v>
      </c>
      <c r="G655">
        <v>26</v>
      </c>
      <c r="H655">
        <v>0</v>
      </c>
      <c r="I655">
        <v>0</v>
      </c>
      <c r="J655">
        <v>5</v>
      </c>
      <c r="K655">
        <v>0</v>
      </c>
      <c r="L655">
        <v>0</v>
      </c>
      <c r="M655">
        <v>9</v>
      </c>
      <c r="N655">
        <v>12</v>
      </c>
      <c r="O655" s="2" t="s">
        <v>2363</v>
      </c>
      <c r="P655" s="4">
        <v>1312</v>
      </c>
      <c r="Q655" t="s">
        <v>23</v>
      </c>
      <c r="R655" t="str">
        <f>IF(Table3[[#This Row],[Narodowość]]&lt;&gt;"Polska","Tak","Nie")</f>
        <v>Nie</v>
      </c>
    </row>
    <row r="656" spans="1:18" x14ac:dyDescent="0.25">
      <c r="A656" t="s">
        <v>473</v>
      </c>
      <c r="B656" t="s">
        <v>330</v>
      </c>
      <c r="C656">
        <v>19</v>
      </c>
      <c r="D656" t="s">
        <v>337</v>
      </c>
      <c r="F656">
        <v>14</v>
      </c>
      <c r="G656">
        <v>8</v>
      </c>
      <c r="H656">
        <v>0</v>
      </c>
      <c r="I656">
        <v>0</v>
      </c>
      <c r="J656">
        <v>1</v>
      </c>
      <c r="K656">
        <v>0</v>
      </c>
      <c r="L656">
        <v>0</v>
      </c>
      <c r="M656">
        <v>7</v>
      </c>
      <c r="N656">
        <v>1</v>
      </c>
      <c r="O656" s="2" t="s">
        <v>2341</v>
      </c>
      <c r="P656" s="4">
        <v>155</v>
      </c>
      <c r="Q656" t="s">
        <v>332</v>
      </c>
      <c r="R656" t="str">
        <f>IF(Table3[[#This Row],[Narodowość]]&lt;&gt;"Polska","Tak","Nie")</f>
        <v>Nie</v>
      </c>
    </row>
    <row r="657" spans="1:18" x14ac:dyDescent="0.25">
      <c r="A657" t="s">
        <v>473</v>
      </c>
      <c r="B657" t="s">
        <v>330</v>
      </c>
      <c r="C657">
        <v>19</v>
      </c>
      <c r="D657" t="s">
        <v>337</v>
      </c>
      <c r="F657">
        <v>18</v>
      </c>
      <c r="G657">
        <v>15</v>
      </c>
      <c r="H657">
        <v>0</v>
      </c>
      <c r="I657">
        <v>2</v>
      </c>
      <c r="J657">
        <v>1</v>
      </c>
      <c r="K657">
        <v>0</v>
      </c>
      <c r="L657">
        <v>0</v>
      </c>
      <c r="M657">
        <v>2</v>
      </c>
      <c r="N657">
        <v>11</v>
      </c>
      <c r="O657" s="2" t="s">
        <v>2280</v>
      </c>
      <c r="P657" s="4">
        <v>1006</v>
      </c>
      <c r="Q657" t="s">
        <v>349</v>
      </c>
      <c r="R657" t="str">
        <f>IF(Table3[[#This Row],[Narodowość]]&lt;&gt;"Polska","Tak","Nie")</f>
        <v>Nie</v>
      </c>
    </row>
    <row r="658" spans="1:18" x14ac:dyDescent="0.25">
      <c r="A658" t="s">
        <v>54</v>
      </c>
      <c r="B658" t="s">
        <v>331</v>
      </c>
      <c r="C658">
        <v>27</v>
      </c>
      <c r="D658" t="s">
        <v>337</v>
      </c>
      <c r="F658">
        <v>29</v>
      </c>
      <c r="G658">
        <v>26</v>
      </c>
      <c r="H658">
        <v>0</v>
      </c>
      <c r="I658">
        <v>0</v>
      </c>
      <c r="J658">
        <v>5</v>
      </c>
      <c r="K658">
        <v>0</v>
      </c>
      <c r="L658">
        <v>0</v>
      </c>
      <c r="M658">
        <v>12</v>
      </c>
      <c r="N658">
        <v>6</v>
      </c>
      <c r="O658" s="2" t="s">
        <v>2402</v>
      </c>
      <c r="P658" s="4">
        <v>1476</v>
      </c>
      <c r="Q658" t="s">
        <v>348</v>
      </c>
      <c r="R658" t="str">
        <f>IF(Table3[[#This Row],[Narodowość]]&lt;&gt;"Polska","Tak","Nie")</f>
        <v>Nie</v>
      </c>
    </row>
    <row r="659" spans="1:18" x14ac:dyDescent="0.25">
      <c r="A659" t="s">
        <v>231</v>
      </c>
      <c r="B659" t="s">
        <v>331</v>
      </c>
      <c r="C659">
        <v>22</v>
      </c>
      <c r="D659" t="s">
        <v>337</v>
      </c>
      <c r="F659">
        <v>22</v>
      </c>
      <c r="G659">
        <v>21</v>
      </c>
      <c r="H659">
        <v>1</v>
      </c>
      <c r="I659">
        <v>0</v>
      </c>
      <c r="J659">
        <v>7</v>
      </c>
      <c r="K659">
        <v>0</v>
      </c>
      <c r="L659">
        <v>0</v>
      </c>
      <c r="M659">
        <v>3</v>
      </c>
      <c r="N659">
        <v>6</v>
      </c>
      <c r="O659" s="2" t="s">
        <v>2414</v>
      </c>
      <c r="P659" s="4">
        <v>1610</v>
      </c>
      <c r="Q659" t="s">
        <v>345</v>
      </c>
      <c r="R659" t="str">
        <f>IF(Table3[[#This Row],[Narodowość]]&lt;&gt;"Polska","Tak","Nie")</f>
        <v>Nie</v>
      </c>
    </row>
    <row r="660" spans="1:18" x14ac:dyDescent="0.25">
      <c r="A660" t="s">
        <v>1982</v>
      </c>
      <c r="B660" t="s">
        <v>331</v>
      </c>
      <c r="C660">
        <v>17</v>
      </c>
      <c r="D660" t="s">
        <v>337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 s="2">
        <v>0</v>
      </c>
      <c r="P660" s="4">
        <v>0</v>
      </c>
      <c r="Q660" t="s">
        <v>345</v>
      </c>
      <c r="R660" t="str">
        <f>IF(Table3[[#This Row],[Narodowość]]&lt;&gt;"Polska","Tak","Nie")</f>
        <v>Nie</v>
      </c>
    </row>
    <row r="661" spans="1:18" x14ac:dyDescent="0.25">
      <c r="A661" t="s">
        <v>1707</v>
      </c>
      <c r="B661" t="s">
        <v>376</v>
      </c>
      <c r="C661">
        <v>20</v>
      </c>
      <c r="D661" t="s">
        <v>337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 s="2">
        <v>0</v>
      </c>
      <c r="P661" s="4">
        <v>0</v>
      </c>
      <c r="Q661" t="s">
        <v>361</v>
      </c>
      <c r="R661" t="str">
        <f>IF(Table3[[#This Row],[Narodowość]]&lt;&gt;"Polska","Tak","Nie")</f>
        <v>Nie</v>
      </c>
    </row>
    <row r="662" spans="1:18" x14ac:dyDescent="0.25">
      <c r="A662" t="s">
        <v>1781</v>
      </c>
      <c r="B662" t="s">
        <v>0</v>
      </c>
      <c r="C662">
        <v>17</v>
      </c>
      <c r="D662" t="s">
        <v>337</v>
      </c>
      <c r="F662">
        <v>7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 s="2">
        <v>0</v>
      </c>
      <c r="P662" s="4">
        <v>0</v>
      </c>
      <c r="Q662" t="s">
        <v>340</v>
      </c>
      <c r="R662" t="str">
        <f>IF(Table3[[#This Row],[Narodowość]]&lt;&gt;"Polska","Tak","Nie")</f>
        <v>Nie</v>
      </c>
    </row>
    <row r="663" spans="1:18" x14ac:dyDescent="0.25">
      <c r="A663" t="s">
        <v>727</v>
      </c>
      <c r="B663" t="s">
        <v>325</v>
      </c>
      <c r="C663">
        <v>18</v>
      </c>
      <c r="D663" t="s">
        <v>337</v>
      </c>
      <c r="F663">
        <v>21</v>
      </c>
      <c r="G663">
        <v>7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7</v>
      </c>
      <c r="N663">
        <v>0</v>
      </c>
      <c r="O663" s="2" t="s">
        <v>2287</v>
      </c>
      <c r="P663" s="4">
        <v>154</v>
      </c>
      <c r="Q663" t="s">
        <v>318</v>
      </c>
      <c r="R663" t="str">
        <f>IF(Table3[[#This Row],[Narodowość]]&lt;&gt;"Polska","Tak","Nie")</f>
        <v>Nie</v>
      </c>
    </row>
    <row r="664" spans="1:18" x14ac:dyDescent="0.25">
      <c r="A664" t="s">
        <v>84</v>
      </c>
      <c r="B664" t="s">
        <v>331</v>
      </c>
      <c r="C664">
        <v>29</v>
      </c>
      <c r="D664" t="s">
        <v>337</v>
      </c>
      <c r="F664">
        <v>30</v>
      </c>
      <c r="G664">
        <v>30</v>
      </c>
      <c r="H664">
        <v>3</v>
      </c>
      <c r="I664">
        <v>0</v>
      </c>
      <c r="J664">
        <v>10</v>
      </c>
      <c r="K664">
        <v>0</v>
      </c>
      <c r="L664">
        <v>0</v>
      </c>
      <c r="M664">
        <v>0</v>
      </c>
      <c r="N664">
        <v>0</v>
      </c>
      <c r="O664" s="2" t="s">
        <v>2392</v>
      </c>
      <c r="P664" s="4">
        <v>2700</v>
      </c>
      <c r="Q664" t="s">
        <v>361</v>
      </c>
      <c r="R664" t="str">
        <f>IF(Table3[[#This Row],[Narodowość]]&lt;&gt;"Polska","Tak","Nie")</f>
        <v>Nie</v>
      </c>
    </row>
    <row r="665" spans="1:18" x14ac:dyDescent="0.25">
      <c r="A665" t="s">
        <v>179</v>
      </c>
      <c r="B665" t="s">
        <v>331</v>
      </c>
      <c r="C665">
        <v>24</v>
      </c>
      <c r="D665" t="s">
        <v>510</v>
      </c>
      <c r="F665">
        <v>23</v>
      </c>
      <c r="G665">
        <v>13</v>
      </c>
      <c r="H665">
        <v>0</v>
      </c>
      <c r="I665">
        <v>1</v>
      </c>
      <c r="J665">
        <v>2</v>
      </c>
      <c r="K665">
        <v>0</v>
      </c>
      <c r="L665">
        <v>0</v>
      </c>
      <c r="M665">
        <v>6</v>
      </c>
      <c r="N665">
        <v>4</v>
      </c>
      <c r="O665" s="2" t="s">
        <v>2383</v>
      </c>
      <c r="P665" s="4">
        <v>610</v>
      </c>
      <c r="Q665" t="s">
        <v>315</v>
      </c>
      <c r="R665" t="str">
        <f>IF(Table3[[#This Row],[Narodowość]]&lt;&gt;"Polska","Tak","Nie")</f>
        <v>Tak</v>
      </c>
    </row>
    <row r="666" spans="1:18" x14ac:dyDescent="0.25">
      <c r="A666" t="s">
        <v>40</v>
      </c>
      <c r="B666" t="s">
        <v>324</v>
      </c>
      <c r="C666">
        <v>24</v>
      </c>
      <c r="D666" t="s">
        <v>370</v>
      </c>
      <c r="F666">
        <v>4</v>
      </c>
      <c r="G666">
        <v>2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2</v>
      </c>
      <c r="N666">
        <v>0</v>
      </c>
      <c r="O666" s="2" t="s">
        <v>2405</v>
      </c>
      <c r="P666" s="4">
        <v>52</v>
      </c>
      <c r="Q666" t="s">
        <v>23</v>
      </c>
      <c r="R666" t="str">
        <f>IF(Table3[[#This Row],[Narodowość]]&lt;&gt;"Polska","Tak","Nie")</f>
        <v>Tak</v>
      </c>
    </row>
    <row r="667" spans="1:18" x14ac:dyDescent="0.25">
      <c r="A667" t="s">
        <v>757</v>
      </c>
      <c r="B667" t="s">
        <v>382</v>
      </c>
      <c r="C667">
        <v>31</v>
      </c>
      <c r="D667" t="s">
        <v>531</v>
      </c>
      <c r="F667">
        <v>5</v>
      </c>
      <c r="G667">
        <v>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 s="2" t="s">
        <v>2291</v>
      </c>
      <c r="P667" s="4">
        <v>90</v>
      </c>
      <c r="Q667" t="s">
        <v>334</v>
      </c>
      <c r="R667" t="str">
        <f>IF(Table3[[#This Row],[Narodowość]]&lt;&gt;"Polska","Tak","Nie")</f>
        <v>Tak</v>
      </c>
    </row>
    <row r="668" spans="1:18" x14ac:dyDescent="0.25">
      <c r="A668" t="s">
        <v>1145</v>
      </c>
      <c r="B668" t="s">
        <v>326</v>
      </c>
      <c r="C668">
        <v>25</v>
      </c>
      <c r="D668" t="s">
        <v>336</v>
      </c>
      <c r="F668">
        <v>12</v>
      </c>
      <c r="G668">
        <v>9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3</v>
      </c>
      <c r="N668">
        <v>6</v>
      </c>
      <c r="O668" s="2" t="s">
        <v>2284</v>
      </c>
      <c r="P668" s="4">
        <v>383</v>
      </c>
      <c r="Q668" t="s">
        <v>344</v>
      </c>
      <c r="R668" t="str">
        <f>IF(Table3[[#This Row],[Narodowość]]&lt;&gt;"Polska","Tak","Nie")</f>
        <v>Tak</v>
      </c>
    </row>
    <row r="669" spans="1:18" x14ac:dyDescent="0.25">
      <c r="A669" t="s">
        <v>180</v>
      </c>
      <c r="B669" t="s">
        <v>331</v>
      </c>
      <c r="C669">
        <v>20</v>
      </c>
      <c r="D669" t="s">
        <v>336</v>
      </c>
      <c r="F669">
        <v>28</v>
      </c>
      <c r="G669">
        <v>20</v>
      </c>
      <c r="H669">
        <v>1</v>
      </c>
      <c r="I669">
        <v>0</v>
      </c>
      <c r="J669">
        <v>1</v>
      </c>
      <c r="K669">
        <v>0</v>
      </c>
      <c r="L669">
        <v>0</v>
      </c>
      <c r="M669">
        <v>15</v>
      </c>
      <c r="N669">
        <v>1</v>
      </c>
      <c r="O669" s="2" t="s">
        <v>2392</v>
      </c>
      <c r="P669" s="4">
        <v>721</v>
      </c>
      <c r="Q669" t="s">
        <v>315</v>
      </c>
      <c r="R669" t="str">
        <f>IF(Table3[[#This Row],[Narodowość]]&lt;&gt;"Polska","Tak","Nie")</f>
        <v>Tak</v>
      </c>
    </row>
    <row r="670" spans="1:18" x14ac:dyDescent="0.25">
      <c r="A670" t="s">
        <v>149</v>
      </c>
      <c r="B670" t="s">
        <v>324</v>
      </c>
      <c r="C670">
        <v>25</v>
      </c>
      <c r="D670" t="s">
        <v>532</v>
      </c>
      <c r="F670">
        <v>8</v>
      </c>
      <c r="G670">
        <v>6</v>
      </c>
      <c r="H670">
        <v>0</v>
      </c>
      <c r="I670">
        <v>1</v>
      </c>
      <c r="J670">
        <v>1</v>
      </c>
      <c r="K670">
        <v>0</v>
      </c>
      <c r="L670">
        <v>0</v>
      </c>
      <c r="M670">
        <v>3</v>
      </c>
      <c r="N670">
        <v>4</v>
      </c>
      <c r="O670" s="2" t="s">
        <v>2314</v>
      </c>
      <c r="P670" s="4">
        <v>265</v>
      </c>
      <c r="Q670" t="s">
        <v>344</v>
      </c>
      <c r="R670" t="str">
        <f>IF(Table3[[#This Row],[Narodowość]]&lt;&gt;"Polska","Tak","Nie")</f>
        <v>Tak</v>
      </c>
    </row>
    <row r="671" spans="1:18" x14ac:dyDescent="0.25">
      <c r="A671" t="s">
        <v>148</v>
      </c>
      <c r="B671" t="s">
        <v>331</v>
      </c>
      <c r="C671">
        <v>31</v>
      </c>
      <c r="D671" t="s">
        <v>420</v>
      </c>
      <c r="F671">
        <v>23</v>
      </c>
      <c r="G671">
        <v>23</v>
      </c>
      <c r="H671">
        <v>0</v>
      </c>
      <c r="I671">
        <v>4</v>
      </c>
      <c r="J671">
        <v>4</v>
      </c>
      <c r="K671">
        <v>0</v>
      </c>
      <c r="L671">
        <v>0</v>
      </c>
      <c r="M671">
        <v>4</v>
      </c>
      <c r="N671">
        <v>4</v>
      </c>
      <c r="O671" s="2" t="s">
        <v>2372</v>
      </c>
      <c r="P671" s="4">
        <v>1725</v>
      </c>
      <c r="Q671" t="s">
        <v>344</v>
      </c>
      <c r="R671" t="str">
        <f>IF(Table3[[#This Row],[Narodowość]]&lt;&gt;"Polska","Tak","Nie")</f>
        <v>Tak</v>
      </c>
    </row>
    <row r="672" spans="1:18" x14ac:dyDescent="0.25">
      <c r="A672" t="s">
        <v>142</v>
      </c>
      <c r="B672" t="s">
        <v>382</v>
      </c>
      <c r="C672">
        <v>26</v>
      </c>
      <c r="D672" t="s">
        <v>350</v>
      </c>
      <c r="F672">
        <v>30</v>
      </c>
      <c r="G672">
        <v>29</v>
      </c>
      <c r="H672">
        <v>2</v>
      </c>
      <c r="I672">
        <v>0</v>
      </c>
      <c r="J672">
        <v>6</v>
      </c>
      <c r="K672">
        <v>0</v>
      </c>
      <c r="L672">
        <v>0</v>
      </c>
      <c r="M672">
        <v>0</v>
      </c>
      <c r="N672">
        <v>1</v>
      </c>
      <c r="O672" s="2" t="s">
        <v>2362</v>
      </c>
      <c r="P672" s="4">
        <v>2604</v>
      </c>
      <c r="Q672" t="s">
        <v>344</v>
      </c>
      <c r="R672" t="str">
        <f>IF(Table3[[#This Row],[Narodowość]]&lt;&gt;"Polska","Tak","Nie")</f>
        <v>Tak</v>
      </c>
    </row>
    <row r="673" spans="1:18" x14ac:dyDescent="0.25">
      <c r="A673" t="s">
        <v>139</v>
      </c>
      <c r="B673" t="s">
        <v>325</v>
      </c>
      <c r="C673">
        <v>32</v>
      </c>
      <c r="D673" t="s">
        <v>362</v>
      </c>
      <c r="F673">
        <v>31</v>
      </c>
      <c r="G673">
        <v>31</v>
      </c>
      <c r="H673">
        <v>9</v>
      </c>
      <c r="I673">
        <v>1</v>
      </c>
      <c r="J673">
        <v>6</v>
      </c>
      <c r="K673">
        <v>0</v>
      </c>
      <c r="L673">
        <v>0</v>
      </c>
      <c r="M673">
        <v>8</v>
      </c>
      <c r="N673">
        <v>10</v>
      </c>
      <c r="O673" s="2" t="s">
        <v>2306</v>
      </c>
      <c r="P673" s="4">
        <v>2002</v>
      </c>
      <c r="Q673" t="s">
        <v>318</v>
      </c>
      <c r="R673" t="str">
        <f>IF(Table3[[#This Row],[Narodowość]]&lt;&gt;"Polska","Tak","Nie")</f>
        <v>Tak</v>
      </c>
    </row>
    <row r="674" spans="1:18" x14ac:dyDescent="0.25">
      <c r="A674" t="s">
        <v>190</v>
      </c>
      <c r="B674" t="s">
        <v>382</v>
      </c>
      <c r="C674">
        <v>29</v>
      </c>
      <c r="D674" t="s">
        <v>362</v>
      </c>
      <c r="F674">
        <v>27</v>
      </c>
      <c r="G674">
        <v>25</v>
      </c>
      <c r="H674">
        <v>2</v>
      </c>
      <c r="I674">
        <v>0</v>
      </c>
      <c r="J674">
        <v>10</v>
      </c>
      <c r="K674">
        <v>0</v>
      </c>
      <c r="L674">
        <v>0</v>
      </c>
      <c r="M674">
        <v>2</v>
      </c>
      <c r="N674">
        <v>1</v>
      </c>
      <c r="O674" s="2" t="s">
        <v>2314</v>
      </c>
      <c r="P674" s="4">
        <v>2165</v>
      </c>
      <c r="Q674" t="s">
        <v>332</v>
      </c>
      <c r="R674" t="str">
        <f>IF(Table3[[#This Row],[Narodowość]]&lt;&gt;"Polska","Tak","Nie")</f>
        <v>Tak</v>
      </c>
    </row>
    <row r="675" spans="1:18" x14ac:dyDescent="0.25">
      <c r="A675" t="s">
        <v>19</v>
      </c>
      <c r="B675" t="s">
        <v>325</v>
      </c>
      <c r="C675">
        <v>32</v>
      </c>
      <c r="D675" t="s">
        <v>362</v>
      </c>
      <c r="F675">
        <v>11</v>
      </c>
      <c r="G675">
        <v>11</v>
      </c>
      <c r="H675">
        <v>2</v>
      </c>
      <c r="I675">
        <v>2</v>
      </c>
      <c r="J675">
        <v>4</v>
      </c>
      <c r="K675">
        <v>0</v>
      </c>
      <c r="L675">
        <v>0</v>
      </c>
      <c r="M675">
        <v>4</v>
      </c>
      <c r="N675">
        <v>5</v>
      </c>
      <c r="O675" s="2" t="s">
        <v>2427</v>
      </c>
      <c r="P675" s="4">
        <v>647</v>
      </c>
      <c r="Q675" t="s">
        <v>316</v>
      </c>
      <c r="R675" t="str">
        <f>IF(Table3[[#This Row],[Narodowość]]&lt;&gt;"Polska","Tak","Nie")</f>
        <v>Tak</v>
      </c>
    </row>
    <row r="676" spans="1:18" x14ac:dyDescent="0.25">
      <c r="A676" t="s">
        <v>83</v>
      </c>
      <c r="B676" t="s">
        <v>328</v>
      </c>
      <c r="C676">
        <v>28</v>
      </c>
      <c r="D676" t="s">
        <v>362</v>
      </c>
      <c r="F676">
        <v>28</v>
      </c>
      <c r="G676">
        <v>28</v>
      </c>
      <c r="H676">
        <v>6</v>
      </c>
      <c r="I676">
        <v>3</v>
      </c>
      <c r="J676">
        <v>4</v>
      </c>
      <c r="K676">
        <v>0</v>
      </c>
      <c r="L676">
        <v>0</v>
      </c>
      <c r="M676">
        <v>1</v>
      </c>
      <c r="N676">
        <v>11</v>
      </c>
      <c r="O676" s="2" t="s">
        <v>2285</v>
      </c>
      <c r="P676" s="4">
        <v>2315</v>
      </c>
      <c r="Q676" t="s">
        <v>361</v>
      </c>
      <c r="R676" t="str">
        <f>IF(Table3[[#This Row],[Narodowość]]&lt;&gt;"Polska","Tak","Nie")</f>
        <v>Tak</v>
      </c>
    </row>
    <row r="677" spans="1:18" x14ac:dyDescent="0.25">
      <c r="A677" t="s">
        <v>424</v>
      </c>
      <c r="B677" t="s">
        <v>325</v>
      </c>
      <c r="C677">
        <v>24</v>
      </c>
      <c r="D677" t="s">
        <v>362</v>
      </c>
      <c r="F677">
        <v>13</v>
      </c>
      <c r="G677">
        <v>10</v>
      </c>
      <c r="H677">
        <v>2</v>
      </c>
      <c r="I677">
        <v>1</v>
      </c>
      <c r="J677">
        <v>2</v>
      </c>
      <c r="K677">
        <v>0</v>
      </c>
      <c r="L677">
        <v>0</v>
      </c>
      <c r="M677">
        <v>1</v>
      </c>
      <c r="N677">
        <v>8</v>
      </c>
      <c r="O677" s="2" t="s">
        <v>2399</v>
      </c>
      <c r="P677" s="4">
        <v>687</v>
      </c>
      <c r="Q677" t="s">
        <v>340</v>
      </c>
      <c r="R677" t="str">
        <f>IF(Table3[[#This Row],[Narodowość]]&lt;&gt;"Polska","Tak","Nie")</f>
        <v>Tak</v>
      </c>
    </row>
    <row r="678" spans="1:18" x14ac:dyDescent="0.25">
      <c r="A678" t="s">
        <v>1574</v>
      </c>
      <c r="B678" t="s">
        <v>325</v>
      </c>
      <c r="C678">
        <v>20</v>
      </c>
      <c r="D678" t="s">
        <v>337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 s="2">
        <v>0</v>
      </c>
      <c r="P678" s="4">
        <v>0</v>
      </c>
      <c r="Q678" t="s">
        <v>23</v>
      </c>
      <c r="R678" t="str">
        <f>IF(Table3[[#This Row],[Narodowość]]&lt;&gt;"Polska","Tak","Nie")</f>
        <v>Nie</v>
      </c>
    </row>
    <row r="679" spans="1:18" x14ac:dyDescent="0.25">
      <c r="A679" t="s">
        <v>1140</v>
      </c>
      <c r="B679" t="s">
        <v>331</v>
      </c>
      <c r="C679">
        <v>35</v>
      </c>
      <c r="D679" t="s">
        <v>337</v>
      </c>
      <c r="F679">
        <v>8</v>
      </c>
      <c r="G679">
        <v>5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4</v>
      </c>
      <c r="N679">
        <v>0</v>
      </c>
      <c r="O679" s="2" t="s">
        <v>2301</v>
      </c>
      <c r="P679" s="4">
        <v>105</v>
      </c>
      <c r="Q679" t="s">
        <v>344</v>
      </c>
      <c r="R679" t="str">
        <f>IF(Table3[[#This Row],[Narodowość]]&lt;&gt;"Polska","Tak","Nie")</f>
        <v>Nie</v>
      </c>
    </row>
    <row r="680" spans="1:18" x14ac:dyDescent="0.25">
      <c r="A680" t="s">
        <v>507</v>
      </c>
      <c r="B680" t="s">
        <v>376</v>
      </c>
      <c r="C680">
        <v>27</v>
      </c>
      <c r="D680" t="s">
        <v>337</v>
      </c>
      <c r="F680">
        <v>9</v>
      </c>
      <c r="G680">
        <v>6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3</v>
      </c>
      <c r="N680">
        <v>1</v>
      </c>
      <c r="O680" s="2" t="s">
        <v>2316</v>
      </c>
      <c r="P680" s="4">
        <v>334</v>
      </c>
      <c r="Q680" t="s">
        <v>334</v>
      </c>
      <c r="R680" t="str">
        <f>IF(Table3[[#This Row],[Narodowość]]&lt;&gt;"Polska","Tak","Nie")</f>
        <v>Nie</v>
      </c>
    </row>
    <row r="681" spans="1:18" x14ac:dyDescent="0.25">
      <c r="A681" t="s">
        <v>1</v>
      </c>
      <c r="B681" t="s">
        <v>0</v>
      </c>
      <c r="C681">
        <v>25</v>
      </c>
      <c r="D681" t="s">
        <v>337</v>
      </c>
      <c r="F681">
        <v>33</v>
      </c>
      <c r="G681">
        <v>22</v>
      </c>
      <c r="H681">
        <v>0</v>
      </c>
      <c r="I681">
        <v>0</v>
      </c>
      <c r="J681">
        <v>1</v>
      </c>
      <c r="K681">
        <v>0</v>
      </c>
      <c r="L681">
        <v>0</v>
      </c>
      <c r="M681">
        <v>0</v>
      </c>
      <c r="N681">
        <v>0</v>
      </c>
      <c r="O681" s="2" t="s">
        <v>2302</v>
      </c>
      <c r="P681" s="4">
        <v>1980</v>
      </c>
      <c r="Q681" t="s">
        <v>316</v>
      </c>
      <c r="R681" t="str">
        <f>IF(Table3[[#This Row],[Narodowość]]&lt;&gt;"Polska","Tak","Nie")</f>
        <v>Nie</v>
      </c>
    </row>
    <row r="682" spans="1:18" x14ac:dyDescent="0.25">
      <c r="A682" t="s">
        <v>119</v>
      </c>
      <c r="B682" t="s">
        <v>331</v>
      </c>
      <c r="C682">
        <v>21</v>
      </c>
      <c r="D682" t="s">
        <v>337</v>
      </c>
      <c r="F682">
        <v>22</v>
      </c>
      <c r="G682">
        <v>15</v>
      </c>
      <c r="H682">
        <v>1</v>
      </c>
      <c r="I682">
        <v>1</v>
      </c>
      <c r="J682">
        <v>1</v>
      </c>
      <c r="K682">
        <v>0</v>
      </c>
      <c r="L682">
        <v>0</v>
      </c>
      <c r="M682">
        <v>4</v>
      </c>
      <c r="N682">
        <v>1</v>
      </c>
      <c r="O682" s="2" t="s">
        <v>2359</v>
      </c>
      <c r="P682" s="4">
        <v>966</v>
      </c>
      <c r="Q682" t="s">
        <v>338</v>
      </c>
      <c r="R682" t="str">
        <f>IF(Table3[[#This Row],[Narodowość]]&lt;&gt;"Polska","Tak","Nie")</f>
        <v>Nie</v>
      </c>
    </row>
    <row r="683" spans="1:18" x14ac:dyDescent="0.25">
      <c r="A683" t="s">
        <v>2091</v>
      </c>
      <c r="B683" t="s">
        <v>330</v>
      </c>
      <c r="C683">
        <v>19</v>
      </c>
      <c r="D683" t="s">
        <v>337</v>
      </c>
      <c r="F683">
        <v>1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 s="2">
        <v>0</v>
      </c>
      <c r="P683" s="4">
        <v>0</v>
      </c>
      <c r="Q683" t="s">
        <v>316</v>
      </c>
      <c r="R683" t="str">
        <f>IF(Table3[[#This Row],[Narodowość]]&lt;&gt;"Polska","Tak","Nie")</f>
        <v>Nie</v>
      </c>
    </row>
    <row r="684" spans="1:18" x14ac:dyDescent="0.25">
      <c r="A684" t="s">
        <v>51</v>
      </c>
      <c r="B684" t="s">
        <v>382</v>
      </c>
      <c r="C684">
        <v>36</v>
      </c>
      <c r="D684" t="s">
        <v>337</v>
      </c>
      <c r="F684">
        <v>31</v>
      </c>
      <c r="G684">
        <v>17</v>
      </c>
      <c r="H684">
        <v>0</v>
      </c>
      <c r="I684">
        <v>1</v>
      </c>
      <c r="J684">
        <v>2</v>
      </c>
      <c r="K684">
        <v>0</v>
      </c>
      <c r="L684">
        <v>0</v>
      </c>
      <c r="M684">
        <v>3</v>
      </c>
      <c r="N684">
        <v>3</v>
      </c>
      <c r="O684" s="2" t="s">
        <v>2445</v>
      </c>
      <c r="P684" s="4">
        <v>1254</v>
      </c>
      <c r="Q684" t="s">
        <v>348</v>
      </c>
      <c r="R684" t="str">
        <f>IF(Table3[[#This Row],[Narodowość]]&lt;&gt;"Polska","Tak","Nie")</f>
        <v>Nie</v>
      </c>
    </row>
    <row r="685" spans="1:18" x14ac:dyDescent="0.25">
      <c r="A685" t="s">
        <v>145</v>
      </c>
      <c r="B685" t="s">
        <v>376</v>
      </c>
      <c r="C685">
        <v>28</v>
      </c>
      <c r="D685" t="s">
        <v>337</v>
      </c>
      <c r="F685">
        <v>22</v>
      </c>
      <c r="G685">
        <v>3</v>
      </c>
      <c r="H685">
        <v>0</v>
      </c>
      <c r="I685">
        <v>0</v>
      </c>
      <c r="J685">
        <v>1</v>
      </c>
      <c r="K685">
        <v>0</v>
      </c>
      <c r="L685">
        <v>0</v>
      </c>
      <c r="M685">
        <v>1</v>
      </c>
      <c r="N685">
        <v>0</v>
      </c>
      <c r="O685" s="2" t="s">
        <v>2368</v>
      </c>
      <c r="P685" s="4">
        <v>181</v>
      </c>
      <c r="Q685" t="s">
        <v>344</v>
      </c>
      <c r="R685" t="str">
        <f>IF(Table3[[#This Row],[Narodowość]]&lt;&gt;"Polska","Tak","Nie")</f>
        <v>Nie</v>
      </c>
    </row>
    <row r="686" spans="1:18" x14ac:dyDescent="0.25">
      <c r="A686" t="s">
        <v>699</v>
      </c>
      <c r="B686" t="s">
        <v>326</v>
      </c>
      <c r="C686">
        <v>24</v>
      </c>
      <c r="D686" t="s">
        <v>337</v>
      </c>
      <c r="F686">
        <v>3</v>
      </c>
      <c r="G686">
        <v>1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 s="2" t="s">
        <v>2291</v>
      </c>
      <c r="P686" s="4">
        <v>44</v>
      </c>
      <c r="Q686" t="s">
        <v>318</v>
      </c>
      <c r="R686" t="str">
        <f>IF(Table3[[#This Row],[Narodowość]]&lt;&gt;"Polska","Tak","Nie")</f>
        <v>Nie</v>
      </c>
    </row>
    <row r="687" spans="1:18" x14ac:dyDescent="0.25">
      <c r="A687" t="s">
        <v>120</v>
      </c>
      <c r="B687" t="s">
        <v>331</v>
      </c>
      <c r="C687">
        <v>18</v>
      </c>
      <c r="D687" t="s">
        <v>337</v>
      </c>
      <c r="F687">
        <v>2</v>
      </c>
      <c r="G687">
        <v>1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 s="2" t="s">
        <v>2301</v>
      </c>
      <c r="P687" s="4">
        <v>30</v>
      </c>
      <c r="Q687" t="s">
        <v>338</v>
      </c>
      <c r="R687" t="str">
        <f>IF(Table3[[#This Row],[Narodowość]]&lt;&gt;"Polska","Tak","Nie")</f>
        <v>Nie</v>
      </c>
    </row>
    <row r="688" spans="1:18" x14ac:dyDescent="0.25">
      <c r="A688" t="s">
        <v>462</v>
      </c>
      <c r="B688" t="s">
        <v>324</v>
      </c>
      <c r="C688">
        <v>17</v>
      </c>
      <c r="D688" t="s">
        <v>337</v>
      </c>
      <c r="F688">
        <v>22</v>
      </c>
      <c r="G688">
        <v>13</v>
      </c>
      <c r="H688">
        <v>1</v>
      </c>
      <c r="I688">
        <v>1</v>
      </c>
      <c r="J688">
        <v>0</v>
      </c>
      <c r="K688">
        <v>0</v>
      </c>
      <c r="L688">
        <v>0</v>
      </c>
      <c r="M688">
        <v>12</v>
      </c>
      <c r="N688">
        <v>1</v>
      </c>
      <c r="O688" s="2" t="s">
        <v>2416</v>
      </c>
      <c r="P688" s="4">
        <v>199</v>
      </c>
      <c r="Q688" t="s">
        <v>340</v>
      </c>
      <c r="R688" t="str">
        <f>IF(Table3[[#This Row],[Narodowość]]&lt;&gt;"Polska","Tak","Nie")</f>
        <v>Nie</v>
      </c>
    </row>
    <row r="689" spans="1:18" x14ac:dyDescent="0.25">
      <c r="A689" t="s">
        <v>2248</v>
      </c>
      <c r="B689" t="s">
        <v>330</v>
      </c>
      <c r="C689">
        <v>28</v>
      </c>
      <c r="D689" t="s">
        <v>337</v>
      </c>
      <c r="F689">
        <v>14</v>
      </c>
      <c r="G689">
        <v>7</v>
      </c>
      <c r="H689">
        <v>0</v>
      </c>
      <c r="I689">
        <v>0</v>
      </c>
      <c r="J689">
        <v>2</v>
      </c>
      <c r="K689">
        <v>0</v>
      </c>
      <c r="L689">
        <v>0</v>
      </c>
      <c r="M689">
        <v>4</v>
      </c>
      <c r="N689">
        <v>3</v>
      </c>
      <c r="O689" s="2" t="s">
        <v>2287</v>
      </c>
      <c r="P689" s="4">
        <v>220</v>
      </c>
      <c r="Q689" t="s">
        <v>348</v>
      </c>
      <c r="R689" t="str">
        <f>IF(Table3[[#This Row],[Narodowość]]&lt;&gt;"Polska","Tak","Nie")</f>
        <v>Nie</v>
      </c>
    </row>
    <row r="690" spans="1:18" x14ac:dyDescent="0.25">
      <c r="A690" t="s">
        <v>284</v>
      </c>
      <c r="B690" t="s">
        <v>326</v>
      </c>
      <c r="C690">
        <v>15</v>
      </c>
      <c r="D690" t="s">
        <v>337</v>
      </c>
      <c r="F690">
        <v>10</v>
      </c>
      <c r="G690">
        <v>6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6</v>
      </c>
      <c r="N690">
        <v>0</v>
      </c>
      <c r="O690" s="2" t="s">
        <v>2301</v>
      </c>
      <c r="P690" s="4">
        <v>19</v>
      </c>
      <c r="Q690" t="s">
        <v>339</v>
      </c>
      <c r="R690" t="str">
        <f>IF(Table3[[#This Row],[Narodowość]]&lt;&gt;"Polska","Tak","Nie")</f>
        <v>Nie</v>
      </c>
    </row>
    <row r="691" spans="1:18" x14ac:dyDescent="0.25">
      <c r="A691" t="s">
        <v>2215</v>
      </c>
      <c r="B691" t="s">
        <v>0</v>
      </c>
      <c r="C691">
        <v>19</v>
      </c>
      <c r="D691" t="s">
        <v>337</v>
      </c>
      <c r="F691">
        <v>5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 s="2">
        <v>0</v>
      </c>
      <c r="P691" s="4">
        <v>0</v>
      </c>
      <c r="Q691" t="s">
        <v>348</v>
      </c>
      <c r="R691" t="str">
        <f>IF(Table3[[#This Row],[Narodowość]]&lt;&gt;"Polska","Tak","Nie")</f>
        <v>Nie</v>
      </c>
    </row>
    <row r="692" spans="1:18" x14ac:dyDescent="0.25">
      <c r="A692" t="s">
        <v>816</v>
      </c>
      <c r="B692" t="s">
        <v>328</v>
      </c>
      <c r="C692">
        <v>21</v>
      </c>
      <c r="D692" t="s">
        <v>337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 s="2">
        <v>0</v>
      </c>
      <c r="P692" s="4">
        <v>0</v>
      </c>
      <c r="Q692" t="s">
        <v>334</v>
      </c>
      <c r="R692" t="str">
        <f>IF(Table3[[#This Row],[Narodowość]]&lt;&gt;"Polska","Tak","Nie")</f>
        <v>Nie</v>
      </c>
    </row>
    <row r="693" spans="1:18" x14ac:dyDescent="0.25">
      <c r="A693" t="s">
        <v>407</v>
      </c>
      <c r="B693" t="s">
        <v>324</v>
      </c>
      <c r="C693">
        <v>21</v>
      </c>
      <c r="D693" t="s">
        <v>408</v>
      </c>
      <c r="F693">
        <v>15</v>
      </c>
      <c r="G693">
        <v>14</v>
      </c>
      <c r="H693">
        <v>2</v>
      </c>
      <c r="I693">
        <v>2</v>
      </c>
      <c r="J693">
        <v>0</v>
      </c>
      <c r="K693">
        <v>0</v>
      </c>
      <c r="L693">
        <v>0</v>
      </c>
      <c r="M693">
        <v>10</v>
      </c>
      <c r="N693">
        <v>4</v>
      </c>
      <c r="O693" s="2" t="s">
        <v>2288</v>
      </c>
      <c r="P693" s="4">
        <v>469</v>
      </c>
      <c r="Q693" t="s">
        <v>341</v>
      </c>
      <c r="R693" t="str">
        <f>IF(Table3[[#This Row],[Narodowość]]&lt;&gt;"Polska","Tak","Nie")</f>
        <v>Tak</v>
      </c>
    </row>
    <row r="694" spans="1:18" x14ac:dyDescent="0.25">
      <c r="A694" t="s">
        <v>897</v>
      </c>
      <c r="B694" t="s">
        <v>330</v>
      </c>
      <c r="C694">
        <v>27</v>
      </c>
      <c r="D694" t="s">
        <v>391</v>
      </c>
      <c r="E694" t="s">
        <v>430</v>
      </c>
      <c r="F694">
        <v>27</v>
      </c>
      <c r="G694">
        <v>21</v>
      </c>
      <c r="H694">
        <v>0</v>
      </c>
      <c r="I694">
        <v>0</v>
      </c>
      <c r="J694">
        <v>1</v>
      </c>
      <c r="K694">
        <v>0</v>
      </c>
      <c r="L694">
        <v>0</v>
      </c>
      <c r="M694">
        <v>9</v>
      </c>
      <c r="N694">
        <v>7</v>
      </c>
      <c r="O694" s="2" t="s">
        <v>2344</v>
      </c>
      <c r="P694" s="4">
        <v>1126</v>
      </c>
      <c r="Q694" t="s">
        <v>332</v>
      </c>
      <c r="R694" t="str">
        <f>IF(Table3[[#This Row],[Narodowość]]&lt;&gt;"Polska","Tak","Nie")</f>
        <v>Tak</v>
      </c>
    </row>
    <row r="695" spans="1:18" x14ac:dyDescent="0.25">
      <c r="A695" t="s">
        <v>1461</v>
      </c>
      <c r="B695" t="s">
        <v>325</v>
      </c>
      <c r="C695">
        <v>26</v>
      </c>
      <c r="D695" t="s">
        <v>480</v>
      </c>
      <c r="E695" t="s">
        <v>419</v>
      </c>
      <c r="F695">
        <v>12</v>
      </c>
      <c r="G695">
        <v>8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8</v>
      </c>
      <c r="N695">
        <v>0</v>
      </c>
      <c r="O695" s="2" t="s">
        <v>2383</v>
      </c>
      <c r="P695" s="4">
        <v>54</v>
      </c>
      <c r="Q695" t="s">
        <v>317</v>
      </c>
      <c r="R695" t="str">
        <f>IF(Table3[[#This Row],[Narodowość]]&lt;&gt;"Polska","Tak","Nie")</f>
        <v>Tak</v>
      </c>
    </row>
    <row r="696" spans="1:18" x14ac:dyDescent="0.25">
      <c r="A696" t="s">
        <v>20</v>
      </c>
      <c r="B696" t="s">
        <v>325</v>
      </c>
      <c r="C696">
        <v>18</v>
      </c>
      <c r="D696" t="s">
        <v>453</v>
      </c>
      <c r="E696" t="s">
        <v>400</v>
      </c>
      <c r="F696">
        <v>6</v>
      </c>
      <c r="G696">
        <v>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3</v>
      </c>
      <c r="N696">
        <v>0</v>
      </c>
      <c r="O696" s="2" t="s">
        <v>2284</v>
      </c>
      <c r="P696" s="4">
        <v>14</v>
      </c>
      <c r="Q696" t="s">
        <v>316</v>
      </c>
      <c r="R696" t="str">
        <f>IF(Table3[[#This Row],[Narodowość]]&lt;&gt;"Polska","Tak","Nie")</f>
        <v>Tak</v>
      </c>
    </row>
    <row r="697" spans="1:18" x14ac:dyDescent="0.25">
      <c r="A697" t="s">
        <v>444</v>
      </c>
      <c r="B697" t="s">
        <v>359</v>
      </c>
      <c r="C697">
        <v>27</v>
      </c>
      <c r="D697" t="s">
        <v>333</v>
      </c>
      <c r="F697">
        <v>31</v>
      </c>
      <c r="G697">
        <v>24</v>
      </c>
      <c r="H697">
        <v>1</v>
      </c>
      <c r="I697">
        <v>2</v>
      </c>
      <c r="J697">
        <v>1</v>
      </c>
      <c r="K697">
        <v>1</v>
      </c>
      <c r="L697">
        <v>0</v>
      </c>
      <c r="M697">
        <v>9</v>
      </c>
      <c r="N697">
        <v>4</v>
      </c>
      <c r="O697" s="2" t="s">
        <v>2303</v>
      </c>
      <c r="P697" s="4">
        <v>1459</v>
      </c>
      <c r="Q697" t="s">
        <v>345</v>
      </c>
      <c r="R697" t="str">
        <f>IF(Table3[[#This Row],[Narodowość]]&lt;&gt;"Polska","Tak","Nie")</f>
        <v>Tak</v>
      </c>
    </row>
    <row r="698" spans="1:18" x14ac:dyDescent="0.25">
      <c r="A698" t="s">
        <v>26</v>
      </c>
      <c r="B698" t="s">
        <v>382</v>
      </c>
      <c r="C698">
        <v>23</v>
      </c>
      <c r="D698" t="s">
        <v>366</v>
      </c>
      <c r="F698">
        <v>11</v>
      </c>
      <c r="G698">
        <v>10</v>
      </c>
      <c r="H698">
        <v>0</v>
      </c>
      <c r="I698">
        <v>0</v>
      </c>
      <c r="J698">
        <v>2</v>
      </c>
      <c r="K698">
        <v>0</v>
      </c>
      <c r="L698">
        <v>0</v>
      </c>
      <c r="M698">
        <v>0</v>
      </c>
      <c r="N698">
        <v>2</v>
      </c>
      <c r="O698" s="2" t="s">
        <v>2283</v>
      </c>
      <c r="P698" s="4">
        <v>820</v>
      </c>
      <c r="Q698" t="s">
        <v>23</v>
      </c>
      <c r="R698" t="str">
        <f>IF(Table3[[#This Row],[Narodowość]]&lt;&gt;"Polska","Tak","Nie")</f>
        <v>Tak</v>
      </c>
    </row>
    <row r="699" spans="1:18" x14ac:dyDescent="0.25">
      <c r="A699" t="s">
        <v>862</v>
      </c>
      <c r="B699" t="s">
        <v>0</v>
      </c>
      <c r="C699">
        <v>23</v>
      </c>
      <c r="D699" t="s">
        <v>388</v>
      </c>
      <c r="E699" t="s">
        <v>346</v>
      </c>
      <c r="F699">
        <v>33</v>
      </c>
      <c r="G699">
        <v>27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0</v>
      </c>
      <c r="O699" s="2" t="s">
        <v>2293</v>
      </c>
      <c r="P699" s="4">
        <v>2430</v>
      </c>
      <c r="Q699" t="s">
        <v>332</v>
      </c>
      <c r="R699" t="str">
        <f>IF(Table3[[#This Row],[Narodowość]]&lt;&gt;"Polska","Tak","Nie")</f>
        <v>Tak</v>
      </c>
    </row>
    <row r="700" spans="1:18" x14ac:dyDescent="0.25">
      <c r="A700" t="s">
        <v>202</v>
      </c>
      <c r="B700" t="s">
        <v>325</v>
      </c>
      <c r="C700">
        <v>26</v>
      </c>
      <c r="D700" t="s">
        <v>343</v>
      </c>
      <c r="F700">
        <v>30</v>
      </c>
      <c r="G700">
        <v>29</v>
      </c>
      <c r="H700">
        <v>9</v>
      </c>
      <c r="I700">
        <v>6</v>
      </c>
      <c r="J700">
        <v>2</v>
      </c>
      <c r="K700">
        <v>0</v>
      </c>
      <c r="L700">
        <v>0</v>
      </c>
      <c r="M700">
        <v>10</v>
      </c>
      <c r="N700">
        <v>18</v>
      </c>
      <c r="O700" s="2" t="s">
        <v>2330</v>
      </c>
      <c r="P700" s="4">
        <v>1790</v>
      </c>
      <c r="Q700" t="s">
        <v>332</v>
      </c>
      <c r="R700" t="str">
        <f>IF(Table3[[#This Row],[Narodowość]]&lt;&gt;"Polska","Tak","Nie")</f>
        <v>Tak</v>
      </c>
    </row>
    <row r="701" spans="1:18" x14ac:dyDescent="0.25">
      <c r="A701" t="s">
        <v>889</v>
      </c>
      <c r="B701" t="s">
        <v>324</v>
      </c>
      <c r="C701">
        <v>25</v>
      </c>
      <c r="D701" t="s">
        <v>430</v>
      </c>
      <c r="F701">
        <v>3</v>
      </c>
      <c r="G701">
        <v>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2</v>
      </c>
      <c r="N701">
        <v>1</v>
      </c>
      <c r="O701" s="2" t="s">
        <v>2336</v>
      </c>
      <c r="P701" s="4">
        <v>47</v>
      </c>
      <c r="Q701" t="s">
        <v>332</v>
      </c>
      <c r="R701" t="str">
        <f>IF(Table3[[#This Row],[Narodowość]]&lt;&gt;"Polska","Tak","Nie")</f>
        <v>Tak</v>
      </c>
    </row>
    <row r="702" spans="1:18" x14ac:dyDescent="0.25">
      <c r="A702" t="s">
        <v>2082</v>
      </c>
      <c r="B702" t="s">
        <v>331</v>
      </c>
      <c r="C702">
        <v>36</v>
      </c>
      <c r="D702" t="s">
        <v>346</v>
      </c>
      <c r="E702" t="s">
        <v>337</v>
      </c>
      <c r="F702">
        <v>3</v>
      </c>
      <c r="G702">
        <v>1</v>
      </c>
      <c r="H702">
        <v>0</v>
      </c>
      <c r="I702">
        <v>0</v>
      </c>
      <c r="J702">
        <v>1</v>
      </c>
      <c r="K702">
        <v>0</v>
      </c>
      <c r="L702">
        <v>0</v>
      </c>
      <c r="M702">
        <v>0</v>
      </c>
      <c r="N702">
        <v>1</v>
      </c>
      <c r="O702" s="2" t="s">
        <v>2291</v>
      </c>
      <c r="P702" s="4">
        <v>46</v>
      </c>
      <c r="Q702" t="s">
        <v>316</v>
      </c>
      <c r="R702" t="str">
        <f>IF(Table3[[#This Row],[Narodowość]]&lt;&gt;"Polska","Tak","Nie")</f>
        <v>Tak</v>
      </c>
    </row>
    <row r="703" spans="1:18" x14ac:dyDescent="0.25">
      <c r="A703" t="s">
        <v>236</v>
      </c>
      <c r="B703" t="s">
        <v>328</v>
      </c>
      <c r="C703">
        <v>34</v>
      </c>
      <c r="D703" t="s">
        <v>337</v>
      </c>
      <c r="E703" t="s">
        <v>347</v>
      </c>
      <c r="F703">
        <v>30</v>
      </c>
      <c r="G703">
        <v>20</v>
      </c>
      <c r="H703">
        <v>0</v>
      </c>
      <c r="I703">
        <v>2</v>
      </c>
      <c r="J703">
        <v>3</v>
      </c>
      <c r="K703">
        <v>0</v>
      </c>
      <c r="L703">
        <v>0</v>
      </c>
      <c r="M703">
        <v>9</v>
      </c>
      <c r="N703">
        <v>11</v>
      </c>
      <c r="O703" s="2" t="s">
        <v>2301</v>
      </c>
      <c r="P703" s="4">
        <v>994</v>
      </c>
      <c r="Q703" t="s">
        <v>345</v>
      </c>
      <c r="R703" t="str">
        <f>IF(Table3[[#This Row],[Narodowość]]&lt;&gt;"Polska","Tak","Nie")</f>
        <v>Nie</v>
      </c>
    </row>
    <row r="704" spans="1:18" x14ac:dyDescent="0.25">
      <c r="A704" t="s">
        <v>2</v>
      </c>
      <c r="B704" t="s">
        <v>382</v>
      </c>
      <c r="C704">
        <v>23</v>
      </c>
      <c r="D704" t="s">
        <v>337</v>
      </c>
      <c r="F704">
        <v>28</v>
      </c>
      <c r="G704">
        <v>23</v>
      </c>
      <c r="H704">
        <v>1</v>
      </c>
      <c r="I704">
        <v>1</v>
      </c>
      <c r="J704">
        <v>6</v>
      </c>
      <c r="K704">
        <v>0</v>
      </c>
      <c r="L704">
        <v>0</v>
      </c>
      <c r="M704">
        <v>1</v>
      </c>
      <c r="N704">
        <v>2</v>
      </c>
      <c r="O704" s="2" t="s">
        <v>2412</v>
      </c>
      <c r="P704" s="4">
        <v>1966</v>
      </c>
      <c r="Q704" t="s">
        <v>316</v>
      </c>
      <c r="R704" t="str">
        <f>IF(Table3[[#This Row],[Narodowość]]&lt;&gt;"Polska","Tak","Nie")</f>
        <v>Nie</v>
      </c>
    </row>
    <row r="705" spans="1:18" x14ac:dyDescent="0.25">
      <c r="A705" t="s">
        <v>442</v>
      </c>
      <c r="B705" t="s">
        <v>352</v>
      </c>
      <c r="C705">
        <v>21</v>
      </c>
      <c r="D705" t="s">
        <v>337</v>
      </c>
      <c r="F705">
        <v>30</v>
      </c>
      <c r="G705">
        <v>17</v>
      </c>
      <c r="H705">
        <v>1</v>
      </c>
      <c r="I705">
        <v>2</v>
      </c>
      <c r="J705">
        <v>0</v>
      </c>
      <c r="K705">
        <v>0</v>
      </c>
      <c r="L705">
        <v>0</v>
      </c>
      <c r="M705">
        <v>12</v>
      </c>
      <c r="N705">
        <v>6</v>
      </c>
      <c r="O705" s="2" t="s">
        <v>2343</v>
      </c>
      <c r="P705" s="4">
        <v>701</v>
      </c>
      <c r="Q705" t="s">
        <v>332</v>
      </c>
      <c r="R705" t="str">
        <f>IF(Table3[[#This Row],[Narodowość]]&lt;&gt;"Polska","Tak","Nie")</f>
        <v>Nie</v>
      </c>
    </row>
    <row r="706" spans="1:18" x14ac:dyDescent="0.25">
      <c r="A706" t="s">
        <v>734</v>
      </c>
      <c r="B706" t="s">
        <v>325</v>
      </c>
      <c r="C706">
        <v>17</v>
      </c>
      <c r="D706" t="s">
        <v>337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 s="2">
        <v>0</v>
      </c>
      <c r="P706" s="4">
        <v>0</v>
      </c>
      <c r="Q706" t="s">
        <v>318</v>
      </c>
      <c r="R706" t="str">
        <f>IF(Table3[[#This Row],[Narodowość]]&lt;&gt;"Polska","Tak","Nie")</f>
        <v>Nie</v>
      </c>
    </row>
    <row r="707" spans="1:18" x14ac:dyDescent="0.25">
      <c r="A707" t="s">
        <v>1875</v>
      </c>
      <c r="B707" t="s">
        <v>328</v>
      </c>
      <c r="C707">
        <v>21</v>
      </c>
      <c r="D707" t="s">
        <v>337</v>
      </c>
      <c r="F707">
        <v>25</v>
      </c>
      <c r="G707">
        <v>16</v>
      </c>
      <c r="H707">
        <v>0</v>
      </c>
      <c r="I707">
        <v>0</v>
      </c>
      <c r="J707">
        <v>1</v>
      </c>
      <c r="K707">
        <v>0</v>
      </c>
      <c r="L707">
        <v>0</v>
      </c>
      <c r="M707">
        <v>16</v>
      </c>
      <c r="N707">
        <v>0</v>
      </c>
      <c r="O707" s="2" t="s">
        <v>2409</v>
      </c>
      <c r="P707" s="4">
        <v>276</v>
      </c>
      <c r="Q707" t="s">
        <v>319</v>
      </c>
      <c r="R707" t="str">
        <f>IF(Table3[[#This Row],[Narodowość]]&lt;&gt;"Polska","Tak","Nie")</f>
        <v>Nie</v>
      </c>
    </row>
    <row r="708" spans="1:18" x14ac:dyDescent="0.25">
      <c r="A708" t="s">
        <v>1579</v>
      </c>
      <c r="B708" t="s">
        <v>382</v>
      </c>
      <c r="C708">
        <v>20</v>
      </c>
      <c r="D708" t="s">
        <v>337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 s="2">
        <v>0</v>
      </c>
      <c r="P708" s="4">
        <v>0</v>
      </c>
      <c r="Q708" t="s">
        <v>349</v>
      </c>
      <c r="R708" t="str">
        <f>IF(Table3[[#This Row],[Narodowość]]&lt;&gt;"Polska","Tak","Nie")</f>
        <v>Nie</v>
      </c>
    </row>
    <row r="709" spans="1:18" x14ac:dyDescent="0.25">
      <c r="A709" t="s">
        <v>1117</v>
      </c>
      <c r="B709" t="s">
        <v>328</v>
      </c>
      <c r="C709">
        <v>19</v>
      </c>
      <c r="D709" t="s">
        <v>1119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 s="2">
        <v>0</v>
      </c>
      <c r="P709" s="4">
        <v>0</v>
      </c>
      <c r="Q709" t="s">
        <v>338</v>
      </c>
      <c r="R709" t="str">
        <f>IF(Table3[[#This Row],[Narodowość]]&lt;&gt;"Polska","Tak","Nie")</f>
        <v>Tak</v>
      </c>
    </row>
    <row r="710" spans="1:18" x14ac:dyDescent="0.25">
      <c r="A710" t="s">
        <v>222</v>
      </c>
      <c r="B710" t="s">
        <v>382</v>
      </c>
      <c r="C710">
        <v>29</v>
      </c>
      <c r="D710" t="s">
        <v>337</v>
      </c>
      <c r="F710">
        <v>31</v>
      </c>
      <c r="G710">
        <v>31</v>
      </c>
      <c r="H710">
        <v>0</v>
      </c>
      <c r="I710">
        <v>5</v>
      </c>
      <c r="J710">
        <v>7</v>
      </c>
      <c r="K710">
        <v>0</v>
      </c>
      <c r="L710">
        <v>0</v>
      </c>
      <c r="M710">
        <v>0</v>
      </c>
      <c r="N710">
        <v>2</v>
      </c>
      <c r="O710" s="2" t="s">
        <v>2425</v>
      </c>
      <c r="P710" s="4">
        <v>2738</v>
      </c>
      <c r="Q710" t="s">
        <v>345</v>
      </c>
      <c r="R710" t="str">
        <f>IF(Table3[[#This Row],[Narodowość]]&lt;&gt;"Polska","Tak","Nie")</f>
        <v>Nie</v>
      </c>
    </row>
    <row r="711" spans="1:18" x14ac:dyDescent="0.25">
      <c r="A711" t="s">
        <v>1139</v>
      </c>
      <c r="B711" t="s">
        <v>331</v>
      </c>
      <c r="C711">
        <v>20</v>
      </c>
      <c r="D711" t="s">
        <v>337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 s="2">
        <v>0</v>
      </c>
      <c r="P711" s="4">
        <v>0</v>
      </c>
      <c r="Q711" t="s">
        <v>344</v>
      </c>
      <c r="R711" t="str">
        <f>IF(Table3[[#This Row],[Narodowość]]&lt;&gt;"Polska","Tak","Nie")</f>
        <v>Nie</v>
      </c>
    </row>
    <row r="712" spans="1:18" x14ac:dyDescent="0.25">
      <c r="A712" t="s">
        <v>125</v>
      </c>
      <c r="B712" t="s">
        <v>0</v>
      </c>
      <c r="C712">
        <v>22</v>
      </c>
      <c r="D712" t="s">
        <v>337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 s="2">
        <v>0</v>
      </c>
      <c r="P712" s="4">
        <v>0</v>
      </c>
      <c r="Q712" t="s">
        <v>318</v>
      </c>
      <c r="R712" t="str">
        <f>IF(Table3[[#This Row],[Narodowość]]&lt;&gt;"Polska","Tak","Nie")</f>
        <v>Nie</v>
      </c>
    </row>
    <row r="713" spans="1:18" x14ac:dyDescent="0.25">
      <c r="A713" t="s">
        <v>1664</v>
      </c>
      <c r="B713" t="s">
        <v>0</v>
      </c>
      <c r="C713">
        <v>17</v>
      </c>
      <c r="D713" t="s">
        <v>337</v>
      </c>
      <c r="F713">
        <v>18</v>
      </c>
      <c r="G713">
        <v>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 s="2" t="s">
        <v>2301</v>
      </c>
      <c r="P713" s="4">
        <v>900</v>
      </c>
      <c r="Q713" t="s">
        <v>361</v>
      </c>
      <c r="R713" t="str">
        <f>IF(Table3[[#This Row],[Narodowość]]&lt;&gt;"Polska","Tak","Nie")</f>
        <v>Nie</v>
      </c>
    </row>
    <row r="714" spans="1:18" x14ac:dyDescent="0.25">
      <c r="A714" t="s">
        <v>377</v>
      </c>
      <c r="B714" t="s">
        <v>328</v>
      </c>
      <c r="C714">
        <v>24</v>
      </c>
      <c r="D714" t="s">
        <v>385</v>
      </c>
      <c r="F714">
        <v>19</v>
      </c>
      <c r="G714">
        <v>19</v>
      </c>
      <c r="H714">
        <v>5</v>
      </c>
      <c r="I714">
        <v>1</v>
      </c>
      <c r="J714">
        <v>1</v>
      </c>
      <c r="K714">
        <v>0</v>
      </c>
      <c r="L714">
        <v>0</v>
      </c>
      <c r="M714">
        <v>2</v>
      </c>
      <c r="N714">
        <v>12</v>
      </c>
      <c r="O714" s="2" t="s">
        <v>2379</v>
      </c>
      <c r="P714" s="4">
        <v>1325</v>
      </c>
      <c r="Q714" t="s">
        <v>383</v>
      </c>
      <c r="R714" t="str">
        <f>IF(Table3[[#This Row],[Narodowość]]&lt;&gt;"Polska","Tak","Nie")</f>
        <v>Tak</v>
      </c>
    </row>
    <row r="715" spans="1:18" x14ac:dyDescent="0.25">
      <c r="A715" t="s">
        <v>1484</v>
      </c>
      <c r="B715" t="s">
        <v>324</v>
      </c>
      <c r="C715">
        <v>31</v>
      </c>
      <c r="D715" t="s">
        <v>430</v>
      </c>
      <c r="F715">
        <v>10</v>
      </c>
      <c r="G715">
        <v>10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4</v>
      </c>
      <c r="N715">
        <v>5</v>
      </c>
      <c r="O715" s="2" t="s">
        <v>2392</v>
      </c>
      <c r="P715" s="4">
        <v>532</v>
      </c>
      <c r="Q715" t="s">
        <v>23</v>
      </c>
      <c r="R715" t="str">
        <f>IF(Table3[[#This Row],[Narodowość]]&lt;&gt;"Polska","Tak","Nie")</f>
        <v>Tak</v>
      </c>
    </row>
    <row r="716" spans="1:18" x14ac:dyDescent="0.25">
      <c r="A716" t="s">
        <v>130</v>
      </c>
      <c r="B716" t="s">
        <v>382</v>
      </c>
      <c r="C716">
        <v>24</v>
      </c>
      <c r="D716" t="s">
        <v>336</v>
      </c>
      <c r="E716" t="s">
        <v>537</v>
      </c>
      <c r="F716">
        <v>18</v>
      </c>
      <c r="G716">
        <v>12</v>
      </c>
      <c r="H716">
        <v>0</v>
      </c>
      <c r="I716">
        <v>1</v>
      </c>
      <c r="J716">
        <v>1</v>
      </c>
      <c r="K716">
        <v>0</v>
      </c>
      <c r="L716">
        <v>0</v>
      </c>
      <c r="M716">
        <v>2</v>
      </c>
      <c r="N716">
        <v>5</v>
      </c>
      <c r="O716" s="2" t="s">
        <v>2286</v>
      </c>
      <c r="P716" s="4">
        <v>810</v>
      </c>
      <c r="Q716" t="s">
        <v>318</v>
      </c>
      <c r="R716" t="str">
        <f>IF(Table3[[#This Row],[Narodowość]]&lt;&gt;"Polska","Tak","Nie")</f>
        <v>Tak</v>
      </c>
    </row>
    <row r="717" spans="1:18" x14ac:dyDescent="0.25">
      <c r="A717" t="s">
        <v>900</v>
      </c>
      <c r="B717" t="s">
        <v>359</v>
      </c>
      <c r="C717">
        <v>33</v>
      </c>
      <c r="D717" t="s">
        <v>388</v>
      </c>
      <c r="F717">
        <v>11</v>
      </c>
      <c r="G717">
        <v>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2</v>
      </c>
      <c r="O717" s="2" t="s">
        <v>2314</v>
      </c>
      <c r="P717" s="4">
        <v>128</v>
      </c>
      <c r="Q717" t="s">
        <v>332</v>
      </c>
      <c r="R717" t="str">
        <f>IF(Table3[[#This Row],[Narodowość]]&lt;&gt;"Polska","Tak","Nie")</f>
        <v>Tak</v>
      </c>
    </row>
    <row r="718" spans="1:18" x14ac:dyDescent="0.25">
      <c r="A718" t="s">
        <v>269</v>
      </c>
      <c r="B718" t="s">
        <v>325</v>
      </c>
      <c r="C718">
        <v>32</v>
      </c>
      <c r="D718" t="s">
        <v>362</v>
      </c>
      <c r="F718">
        <v>14</v>
      </c>
      <c r="G718">
        <v>14</v>
      </c>
      <c r="H718">
        <v>2</v>
      </c>
      <c r="I718">
        <v>0</v>
      </c>
      <c r="J718">
        <v>1</v>
      </c>
      <c r="K718">
        <v>0</v>
      </c>
      <c r="L718">
        <v>0</v>
      </c>
      <c r="M718">
        <v>4</v>
      </c>
      <c r="N718">
        <v>6</v>
      </c>
      <c r="O718" s="2" t="s">
        <v>2405</v>
      </c>
      <c r="P718" s="4">
        <v>906</v>
      </c>
      <c r="Q718" t="s">
        <v>383</v>
      </c>
      <c r="R718" t="str">
        <f>IF(Table3[[#This Row],[Narodowość]]&lt;&gt;"Polska","Tak","Nie")</f>
        <v>Tak</v>
      </c>
    </row>
    <row r="719" spans="1:18" x14ac:dyDescent="0.25">
      <c r="A719" t="s">
        <v>1050</v>
      </c>
      <c r="B719" t="s">
        <v>0</v>
      </c>
      <c r="C719">
        <v>30</v>
      </c>
      <c r="D719" t="s">
        <v>388</v>
      </c>
      <c r="E719" t="s">
        <v>347</v>
      </c>
      <c r="F719">
        <v>17</v>
      </c>
      <c r="G719">
        <v>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 s="2" t="s">
        <v>2314</v>
      </c>
      <c r="P719" s="4">
        <v>540</v>
      </c>
      <c r="Q719" t="s">
        <v>338</v>
      </c>
      <c r="R719" t="str">
        <f>IF(Table3[[#This Row],[Narodowość]]&lt;&gt;"Polska","Tak","Nie")</f>
        <v>Tak</v>
      </c>
    </row>
    <row r="720" spans="1:18" x14ac:dyDescent="0.25">
      <c r="A720" t="s">
        <v>1050</v>
      </c>
      <c r="B720" t="s">
        <v>0</v>
      </c>
      <c r="C720">
        <v>30</v>
      </c>
      <c r="D720" t="s">
        <v>388</v>
      </c>
      <c r="E720" t="s">
        <v>347</v>
      </c>
      <c r="F720">
        <v>15</v>
      </c>
      <c r="G720">
        <v>14</v>
      </c>
      <c r="H720">
        <v>0</v>
      </c>
      <c r="I720">
        <v>0</v>
      </c>
      <c r="J720">
        <v>2</v>
      </c>
      <c r="K720">
        <v>0</v>
      </c>
      <c r="L720">
        <v>0</v>
      </c>
      <c r="M720">
        <v>0</v>
      </c>
      <c r="N720">
        <v>0</v>
      </c>
      <c r="O720" s="2" t="s">
        <v>2414</v>
      </c>
      <c r="P720" s="4">
        <v>1260</v>
      </c>
      <c r="Q720" t="s">
        <v>361</v>
      </c>
      <c r="R720" t="str">
        <f>IF(Table3[[#This Row],[Narodowość]]&lt;&gt;"Polska","Tak","Nie")</f>
        <v>Tak</v>
      </c>
    </row>
    <row r="721" spans="1:18" x14ac:dyDescent="0.25">
      <c r="A721" t="s">
        <v>505</v>
      </c>
      <c r="B721" t="s">
        <v>382</v>
      </c>
      <c r="C721">
        <v>27</v>
      </c>
      <c r="D721" t="s">
        <v>364</v>
      </c>
      <c r="F721">
        <v>22</v>
      </c>
      <c r="G721">
        <v>21</v>
      </c>
      <c r="H721">
        <v>1</v>
      </c>
      <c r="I721">
        <v>0</v>
      </c>
      <c r="J721">
        <v>5</v>
      </c>
      <c r="K721">
        <v>1</v>
      </c>
      <c r="L721">
        <v>0</v>
      </c>
      <c r="M721">
        <v>2</v>
      </c>
      <c r="N721">
        <v>5</v>
      </c>
      <c r="O721" s="2" t="s">
        <v>2333</v>
      </c>
      <c r="P721" s="4">
        <v>1578</v>
      </c>
      <c r="Q721" t="s">
        <v>332</v>
      </c>
      <c r="R721" t="str">
        <f>IF(Table3[[#This Row],[Narodowość]]&lt;&gt;"Polska","Tak","Nie")</f>
        <v>Tak</v>
      </c>
    </row>
    <row r="722" spans="1:18" x14ac:dyDescent="0.25">
      <c r="A722" t="s">
        <v>15</v>
      </c>
      <c r="B722" t="s">
        <v>330</v>
      </c>
      <c r="C722">
        <v>27</v>
      </c>
      <c r="D722" t="s">
        <v>346</v>
      </c>
      <c r="E722" t="s">
        <v>364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 s="2">
        <v>0</v>
      </c>
      <c r="P722" s="4">
        <v>0</v>
      </c>
      <c r="Q722" t="s">
        <v>316</v>
      </c>
      <c r="R722" t="str">
        <f>IF(Table3[[#This Row],[Narodowość]]&lt;&gt;"Polska","Tak","Nie")</f>
        <v>Tak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01CCF7-3E81-4401-852F-744DD5C56C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Zawodnicy cechy</vt:lpstr>
      <vt:lpstr>Zawodnicy statystyki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Desert Fox</dc:creator>
  <cp:lastModifiedBy>Desert Fox</cp:lastModifiedBy>
  <dcterms:created xsi:type="dcterms:W3CDTF">2023-03-22T17:55:50Z</dcterms:created>
  <dcterms:modified xsi:type="dcterms:W3CDTF">2023-04-21T12:07:35Z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ClearFormats" visible="true"/>
      </mso:documentControls>
    </mso:qat>
  </mso:ribbon>
</mso:customUI>
</file>